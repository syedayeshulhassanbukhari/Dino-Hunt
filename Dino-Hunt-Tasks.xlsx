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ame Development\Roblox\Games\Deno-Hunt\"/>
    </mc:Choice>
  </mc:AlternateContent>
  <xr:revisionPtr revIDLastSave="0" documentId="13_ncr:1_{732B13ED-AA87-49A4-A0CE-2C50417B85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s" sheetId="1" r:id="rId1"/>
    <sheet name="Phases" sheetId="2" r:id="rId2"/>
    <sheet name="Legend" sheetId="3" r:id="rId3"/>
  </sheets>
  <definedNames>
    <definedName name="_xlnm._FilterDatabase" localSheetId="0" hidden="1">Tasks!$A$5:$K$77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H11" i="2" s="1"/>
  <c r="F11" i="2"/>
  <c r="E11" i="2"/>
  <c r="D11" i="2"/>
  <c r="G10" i="2"/>
  <c r="H10" i="2" s="1"/>
  <c r="F10" i="2"/>
  <c r="E10" i="2"/>
  <c r="D10" i="2"/>
  <c r="G9" i="2"/>
  <c r="H9" i="2" s="1"/>
  <c r="F9" i="2"/>
  <c r="E9" i="2"/>
  <c r="D9" i="2"/>
  <c r="G8" i="2"/>
  <c r="F8" i="2"/>
  <c r="E8" i="2"/>
  <c r="D8" i="2"/>
  <c r="G7" i="2"/>
  <c r="H7" i="2" s="1"/>
  <c r="F7" i="2"/>
  <c r="E7" i="2"/>
  <c r="D7" i="2"/>
  <c r="G6" i="2"/>
  <c r="H6" i="2" s="1"/>
  <c r="F6" i="2"/>
  <c r="E6" i="2"/>
  <c r="D6" i="2"/>
  <c r="G5" i="2"/>
  <c r="G12" i="2" s="1"/>
  <c r="F5" i="2"/>
  <c r="E5" i="2"/>
  <c r="D5" i="2"/>
  <c r="G80" i="1"/>
  <c r="H8" i="2" l="1"/>
  <c r="E12" i="2"/>
  <c r="F12" i="2"/>
  <c r="H12" i="2" s="1"/>
  <c r="D12" i="2"/>
  <c r="H5" i="2"/>
</calcChain>
</file>

<file path=xl/sharedStrings.xml><?xml version="1.0" encoding="utf-8"?>
<sst xmlns="http://schemas.openxmlformats.org/spreadsheetml/2006/main" count="662" uniqueCount="368">
  <si>
    <t>Dino Hunt — implementation task tracker</t>
  </si>
  <si>
    <t>Greenfield build · Fusion + Nevermore · place 96665470525866 · plan: docs/06-project-plan.md</t>
  </si>
  <si>
    <t>Edit only the Status and Notes columns. Everything else is derived from the plan.</t>
  </si>
  <si>
    <t>ID</t>
  </si>
  <si>
    <t>Phase</t>
  </si>
  <si>
    <t>Area</t>
  </si>
  <si>
    <t>Task</t>
  </si>
  <si>
    <t>Acceptance criteria</t>
  </si>
  <si>
    <t>Depends on</t>
  </si>
  <si>
    <t>Est (d)</t>
  </si>
  <si>
    <t>Pri</t>
  </si>
  <si>
    <t>Status</t>
  </si>
  <si>
    <t>FR ref</t>
  </si>
  <si>
    <t>Notes</t>
  </si>
  <si>
    <t>DH-001</t>
  </si>
  <si>
    <t>Toolchain</t>
  </si>
  <si>
    <t>Install and pin Rokit toolchain</t>
  </si>
  <si>
    <t>rokit.toml pins rojo, wally, selene, stylua; `rokit install` succeeds</t>
  </si>
  <si>
    <t>M</t>
  </si>
  <si>
    <t>Cut</t>
  </si>
  <si>
    <t>Void — no Rojo/Wally. Decided 2026-09-28.</t>
  </si>
  <si>
    <t>DH-002</t>
  </si>
  <si>
    <t>Pin Fusion and Nevermore in wally.toml</t>
  </si>
  <si>
    <t>Exact versions pinned, not ranges. Fusion major recorded in docs (0.3 changed the API).</t>
  </si>
  <si>
    <t>Void — no Wally. Fusion installed from its GitHub .rbxm instead; Nevermore dropped.</t>
  </si>
  <si>
    <t>DH-003</t>
  </si>
  <si>
    <t>Write default.project.json</t>
  </si>
  <si>
    <t>Maps src/shared, src/server, src/client, src/assets per plan section 3</t>
  </si>
  <si>
    <t>Void — no Rojo.</t>
  </si>
  <si>
    <t>DH-004</t>
  </si>
  <si>
    <t>Selene and StyLua config</t>
  </si>
  <si>
    <t>Both run clean on an empty project</t>
  </si>
  <si>
    <t>Not started</t>
  </si>
  <si>
    <t>Can still run manually against exported source.</t>
  </si>
  <si>
    <t>DH-005</t>
  </si>
  <si>
    <t>Structure</t>
  </si>
  <si>
    <t>Create src skeleton</t>
  </si>
  <si>
    <t>shared/Config, shared/Net, shared/Types, shared/Util, server/Services, client/Controllers, client/UI</t>
  </si>
  <si>
    <t>Done</t>
  </si>
  <si>
    <t>Built in-place: ReplicatedStorage.Shared{Config,Net,Types,Util}, Server.Services, Client{Controllers,UI}.</t>
  </si>
  <si>
    <t>DH-006</t>
  </si>
  <si>
    <t>ServiceBag bootstrap</t>
  </si>
  <si>
    <t>init.server.luau builds the bag and starts services; init.client.luau mirrors it</t>
  </si>
  <si>
    <t>ServiceBag + Bootstrap live. Server log: '0 service(s)', no errors.</t>
  </si>
  <si>
    <t>DH-007</t>
  </si>
  <si>
    <t>Prove the Rojo round trip</t>
  </si>
  <si>
    <t>Edit a file, Rojo syncs, change visible in Dino Hunt place</t>
  </si>
  <si>
    <t>Void — no Rojo. MCP set_script_source is the authoring path.</t>
  </si>
  <si>
    <t>DH-008</t>
  </si>
  <si>
    <t>UI</t>
  </si>
  <si>
    <t>Reference Fusion component</t>
  </si>
  <si>
    <t>One trivial HUD element renders in-game from a file edit. Sets the pattern for every later component.</t>
  </si>
  <si>
    <t>Client.Bootstrap renders the HUD; Computed followed Value 0-&gt;1. Fusion 0.3 confirmed.</t>
  </si>
  <si>
    <t>DH-009</t>
  </si>
  <si>
    <t>Process</t>
  </si>
  <si>
    <t>Commit the skeleton</t>
  </si>
  <si>
    <t>Pushed to master; wally.lock committed</t>
  </si>
  <si>
    <t>DH-010</t>
  </si>
  <si>
    <t>World</t>
  </si>
  <si>
    <t>Blockout: reactor core and defense ring</t>
  </si>
  <si>
    <t>Central structure with a visibly read defense ring on the floor</t>
  </si>
  <si>
    <t>FR-10</t>
  </si>
  <si>
    <t>DH-011</t>
  </si>
  <si>
    <t>Blockout: approach lanes and spawn markers</t>
  </si>
  <si>
    <t>2-3 lanes that read clearly from the reactor; spawn points marked</t>
  </si>
  <si>
    <t>DH-012</t>
  </si>
  <si>
    <t>Blockout: sector volumes and gates</t>
  </si>
  <si>
    <t>Four bounded areas behind gate volumes</t>
  </si>
  <si>
    <t>FR-30</t>
  </si>
  <si>
    <t>DH-013</t>
  </si>
  <si>
    <t>Export blockout to .rbxmx</t>
  </si>
  <si>
    <t>Committed under src/assets; replaceable without touching code</t>
  </si>
  <si>
    <t>DH-014</t>
  </si>
  <si>
    <t>Config</t>
  </si>
  <si>
    <t>Species table and derivation formulas</t>
  </si>
  <si>
    <t>One lp weight per species; baseHP/damage/rewards all derived. Comment the constants.</t>
  </si>
  <si>
    <t>FR-60</t>
  </si>
  <si>
    <t>DH-015</t>
  </si>
  <si>
    <t>Creature</t>
  </si>
  <si>
    <t>Grey-box rig: swarmer</t>
  </si>
  <si>
    <t>Part-built, distinct silhouette, flat colour, walk cycle only</t>
  </si>
  <si>
    <t>DH-016</t>
  </si>
  <si>
    <t>CreatureService: spawn and pooling</t>
  </si>
  <si>
    <t>Pooled instances; no per-spawn instantiation spikes</t>
  </si>
  <si>
    <t>NFR-P5</t>
  </si>
  <si>
    <t>DH-017</t>
  </si>
  <si>
    <t>Concurrency cap from day one</t>
  </si>
  <si>
    <t>min(perPlayer x live, MAX_ACTIVE); one server-wide cap</t>
  </si>
  <si>
    <t>NFR-P2</t>
  </si>
  <si>
    <t>DH-018</t>
  </si>
  <si>
    <t>Pathing to the reactor</t>
  </si>
  <si>
    <t>Creature walks a lane and reaches the defense ring</t>
  </si>
  <si>
    <t>DH-019</t>
  </si>
  <si>
    <t>Combat</t>
  </si>
  <si>
    <t>CombatService: hitscan rifle</t>
  </si>
  <si>
    <t>Server-validated: fire rate, ammo, origin sanity</t>
  </si>
  <si>
    <t>NFR-S1</t>
  </si>
  <si>
    <t>DH-020</t>
  </si>
  <si>
    <t>Damage, death and the one-shot invariant</t>
  </si>
  <si>
    <t>Wave-1 creature dies to exactly one starter shot</t>
  </si>
  <si>
    <t>FR-61</t>
  </si>
  <si>
    <t>DH-021</t>
  </si>
  <si>
    <t>Wave</t>
  </si>
  <si>
    <t>WaveService: 20 finite wave definitions</t>
  </si>
  <si>
    <t>Wave counter reaches 20; no wave 21</t>
  </si>
  <si>
    <t>FR-01</t>
  </si>
  <si>
    <t>DH-022</t>
  </si>
  <si>
    <t>Wave composition table in Config</t>
  </si>
  <si>
    <t>Per-wave species and counts; sums verified</t>
  </si>
  <si>
    <t>DH-023</t>
  </si>
  <si>
    <t>Batched spawning from a reservoir</t>
  </si>
  <si>
    <t>Concurrency cap never exceeded mid-wave</t>
  </si>
  <si>
    <t>DH-024</t>
  </si>
  <si>
    <t>Intermission (15s)</t>
  </si>
  <si>
    <t>Timer visible; buy actions available</t>
  </si>
  <si>
    <t>FR-05</t>
  </si>
  <si>
    <t>DH-025</t>
  </si>
  <si>
    <t>Grey-box rig: flanker</t>
  </si>
  <si>
    <t>Medium, lean silhouette</t>
  </si>
  <si>
    <t>DH-026</t>
  </si>
  <si>
    <t>Grey-box rig: armoured</t>
  </si>
  <si>
    <t>Wide, tall front plate</t>
  </si>
  <si>
    <t>DH-027</t>
  </si>
  <si>
    <t>Grey-box rig: ranged</t>
  </si>
  <si>
    <t>Medium with a marked head; telegraphed spit</t>
  </si>
  <si>
    <t>DH-028</t>
  </si>
  <si>
    <t>Directional armour</t>
  </si>
  <si>
    <t>Shots blocked within a cone of facing; land from the flank</t>
  </si>
  <si>
    <t>DH-029</t>
  </si>
  <si>
    <t>Victory at wave 20</t>
  </si>
  <si>
    <t>Victory screen; rewards granted once</t>
  </si>
  <si>
    <t>FR-02</t>
  </si>
  <si>
    <t>DH-030</t>
  </si>
  <si>
    <t>Defeat state stub</t>
  </si>
  <si>
    <t>Placeholder until the reactor exists</t>
  </si>
  <si>
    <t>FR-03</t>
  </si>
  <si>
    <t>DH-031</t>
  </si>
  <si>
    <t>Objective</t>
  </si>
  <si>
    <t>Reactor instance and server-owned HP</t>
  </si>
  <si>
    <t>HP replicates; not client-writable</t>
  </si>
  <si>
    <t>DH-032</t>
  </si>
  <si>
    <t>Reactor damage intake and ring targeting</t>
  </si>
  <si>
    <t>Creatures reaching the ring attack it; HP falls</t>
  </si>
  <si>
    <t>FR-11</t>
  </si>
  <si>
    <t>DH-033</t>
  </si>
  <si>
    <t>Repair interaction</t>
  </si>
  <si>
    <t>Hold-interact; costs Credits; rate from Config</t>
  </si>
  <si>
    <t>FR-12</t>
  </si>
  <si>
    <t>DH-034</t>
  </si>
  <si>
    <t>Defeat on reactor at 0 HP</t>
  </si>
  <si>
    <t>Defeat screen; checkpoint rewards retained</t>
  </si>
  <si>
    <t>DH-035</t>
  </si>
  <si>
    <t>Economy</t>
  </si>
  <si>
    <t>Amber drops, server-owned</t>
  </si>
  <si>
    <t>Amber never enters a backpack</t>
  </si>
  <si>
    <t>FR-13</t>
  </si>
  <si>
    <t>DH-036</t>
  </si>
  <si>
    <t>Amber magnet flight and gauge</t>
  </si>
  <si>
    <t>0.5-1.2s curve; value added exactly once; VFX culled on low-end</t>
  </si>
  <si>
    <t>FR-14</t>
  </si>
  <si>
    <t>DH-037</t>
  </si>
  <si>
    <t>Reactor levels 1-5</t>
  </si>
  <si>
    <t>Level-up fires once per threshold</t>
  </si>
  <si>
    <t>FR-15</t>
  </si>
  <si>
    <t>DH-038</t>
  </si>
  <si>
    <t>Party-scaled Amber thresholds</t>
  </si>
  <si>
    <t>Solo and 6-player reach L2 at a comparable wave. Fixes a GDD defect.</t>
  </si>
  <si>
    <t>FR-16</t>
  </si>
  <si>
    <t>DH-039</t>
  </si>
  <si>
    <t>Fusion HUD: reactor HP</t>
  </si>
  <si>
    <t>Reads clearly at a glance; low-HP state distinct</t>
  </si>
  <si>
    <t>DH-040</t>
  </si>
  <si>
    <t>Fusion HUD: Amber gauge</t>
  </si>
  <si>
    <t>Shows current level and progress to next</t>
  </si>
  <si>
    <t>DH-041</t>
  </si>
  <si>
    <t>Fusion HUD: wave counter and enemies remaining</t>
  </si>
  <si>
    <t>Top-centre per the GDD HUD spec</t>
  </si>
  <si>
    <t>DH-042</t>
  </si>
  <si>
    <t>Boss</t>
  </si>
  <si>
    <t>BossService: phase state machine</t>
  </si>
  <si>
    <t>Phases advance on HP thresholds; recovers from a lost target</t>
  </si>
  <si>
    <t>FR-20</t>
  </si>
  <si>
    <t>DH-043</t>
  </si>
  <si>
    <t>Telegraph system and ground indicators</t>
  </si>
  <si>
    <t>Readable at the lowest graphics setting</t>
  </si>
  <si>
    <t>FR-22 NFR-U5</t>
  </si>
  <si>
    <t>DH-044</t>
  </si>
  <si>
    <t>Invulnerability cap</t>
  </si>
  <si>
    <t>No boss invulnerable more than 8 consecutive seconds; instrumented</t>
  </si>
  <si>
    <t>FR-21</t>
  </si>
  <si>
    <t>DH-045</t>
  </si>
  <si>
    <t>Fusion boss health bar</t>
  </si>
  <si>
    <t>Phase markers visible</t>
  </si>
  <si>
    <t>DH-046</t>
  </si>
  <si>
    <t>Boss 1: Alpha Raptor Matriarch</t>
  </si>
  <si>
    <t>Summons, hunter mark, wall-leap, flank window after a missed pounce</t>
  </si>
  <si>
    <t>FR-25</t>
  </si>
  <si>
    <t>DH-047</t>
  </si>
  <si>
    <t>Checkpoint reward and phase respawn</t>
  </si>
  <si>
    <t>Exactly one reward; downed players respawn once at a transition</t>
  </si>
  <si>
    <t>FR-23 FR-24</t>
  </si>
  <si>
    <t>DH-048</t>
  </si>
  <si>
    <t>Exploration</t>
  </si>
  <si>
    <t>ExplorationService: wave pause</t>
  </si>
  <si>
    <t>No spawns, no reactor damage during exploration</t>
  </si>
  <si>
    <t>FR-32</t>
  </si>
  <si>
    <t>DH-049</t>
  </si>
  <si>
    <t>150s timer with 30s and 10s warnings</t>
  </si>
  <si>
    <t>Warnings fire once each</t>
  </si>
  <si>
    <t>FR-33</t>
  </si>
  <si>
    <t>DH-050</t>
  </si>
  <si>
    <t>Safe recall at zero</t>
  </si>
  <si>
    <t>Distant players recalled, not killed. No fall damage.</t>
  </si>
  <si>
    <t>FR-34</t>
  </si>
  <si>
    <t>DH-051</t>
  </si>
  <si>
    <t>Sector 1 gating on boss AND Amber level</t>
  </si>
  <si>
    <t>Neither condition alone opens it</t>
  </si>
  <si>
    <t>DH-052</t>
  </si>
  <si>
    <t>Late gauge fill case</t>
  </si>
  <si>
    <t>If the gauge fills mid-wave, the sector opens then. Defines what the GDD leaves open.</t>
  </si>
  <si>
    <t>FR-31</t>
  </si>
  <si>
    <t>DH-053</t>
  </si>
  <si>
    <t>Survivor</t>
  </si>
  <si>
    <t>SurvivorService: escort NPC and waypoints</t>
  </si>
  <si>
    <t>Authored waypoints, not dynamic pathfinding</t>
  </si>
  <si>
    <t>FR-40</t>
  </si>
  <si>
    <t>DH-054</t>
  </si>
  <si>
    <t>Stuck recovery</t>
  </si>
  <si>
    <t>Relocates to the last safe waypoint after 8s</t>
  </si>
  <si>
    <t>FR-41</t>
  </si>
  <si>
    <t>DH-055</t>
  </si>
  <si>
    <t>Safe room arrival and team credit</t>
  </si>
  <si>
    <t>Credit shared team-wide; survivor visibly present</t>
  </si>
  <si>
    <t>DH-056</t>
  </si>
  <si>
    <t>Hatchery</t>
  </si>
  <si>
    <t>Nest and guardian</t>
  </si>
  <si>
    <t>Kill OR distract both yield the egg</t>
  </si>
  <si>
    <t>FR-42</t>
  </si>
  <si>
    <t>DH-057</t>
  </si>
  <si>
    <t>Egg carry state</t>
  </si>
  <si>
    <t>Occupies an objective slot, slows sprint, icon above carrier</t>
  </si>
  <si>
    <t>FR-43</t>
  </si>
  <si>
    <t>DH-058</t>
  </si>
  <si>
    <t>Hatchery deposit secures the egg</t>
  </si>
  <si>
    <t>Survives a forced run loss</t>
  </si>
  <si>
    <t>FR-44</t>
  </si>
  <si>
    <t>DH-059</t>
  </si>
  <si>
    <t>Incubation on server timestamps</t>
  </si>
  <si>
    <t>Survives reconnect. Timestamp-based, never tick-based.</t>
  </si>
  <si>
    <t>FR-45 NFR-D4</t>
  </si>
  <si>
    <t>DH-060</t>
  </si>
  <si>
    <t>Idempotent pet grant</t>
  </si>
  <si>
    <t>Exactly one pet. Duplicate grant IDs rejected. HIGHEST data-integrity risk.</t>
  </si>
  <si>
    <t>FR-46 NFR-D3</t>
  </si>
  <si>
    <t>DH-061</t>
  </si>
  <si>
    <t>Collection</t>
  </si>
  <si>
    <t>Dino Codex (minimal)</t>
  </si>
  <si>
    <t>Seen / defeated / egg / hatched per species; persists</t>
  </si>
  <si>
    <t>S</t>
  </si>
  <si>
    <t>FR-47</t>
  </si>
  <si>
    <t>DH-062</t>
  </si>
  <si>
    <t>Data</t>
  </si>
  <si>
    <t>DataService profile keys</t>
  </si>
  <si>
    <t>DinoCodex, EggInventory, PetInventory, SurvivorLog; schema versioned</t>
  </si>
  <si>
    <t>NFR-D5</t>
  </si>
  <si>
    <t>DH-063</t>
  </si>
  <si>
    <t>Player</t>
  </si>
  <si>
    <t>Three classes with passives</t>
  </si>
  <si>
    <t>Ranger, Engineer, Medic. Duplicates allowed.</t>
  </si>
  <si>
    <t>FR-50</t>
  </si>
  <si>
    <t>DH-064</t>
  </si>
  <si>
    <t>Class abilities on 60s cooldown</t>
  </si>
  <si>
    <t>Scan Pulse, Shock Fence, Healing Mist</t>
  </si>
  <si>
    <t>DH-065</t>
  </si>
  <si>
    <t>Downed state (25s)</t>
  </si>
  <si>
    <t>Not instant death</t>
  </si>
  <si>
    <t>FR-51</t>
  </si>
  <si>
    <t>DH-066</t>
  </si>
  <si>
    <t>Revive (3s, interrupted by damage)</t>
  </si>
  <si>
    <t>Verified in multiplayer</t>
  </si>
  <si>
    <t>FR-52</t>
  </si>
  <si>
    <t>DH-067</t>
  </si>
  <si>
    <t>Next-wave respawn and credit penalty</t>
  </si>
  <si>
    <t>Solo case explicitly defined. Fixes a GDD contradiction.</t>
  </si>
  <si>
    <t>FR-53</t>
  </si>
  <si>
    <t>DH-068</t>
  </si>
  <si>
    <t>Run perks: milestone 3-choice draft</t>
  </si>
  <si>
    <t>Six perks; stacks respected</t>
  </si>
  <si>
    <t>FR-06</t>
  </si>
  <si>
    <t>DH-069</t>
  </si>
  <si>
    <t>Hardening</t>
  </si>
  <si>
    <t>Performance pass</t>
  </si>
  <si>
    <t>50+ FPS on reference mobile at wave 20; memory flat across a run</t>
  </si>
  <si>
    <t>NFR-P1 NFR-P4</t>
  </si>
  <si>
    <t>DH-070</t>
  </si>
  <si>
    <t>Mobile device test</t>
  </si>
  <si>
    <t>Touch reaches every action; UI never blocks controls</t>
  </si>
  <si>
    <t>NFR-C2 NFR-C4</t>
  </si>
  <si>
    <t>DH-071</t>
  </si>
  <si>
    <t>Exploit pass</t>
  </si>
  <si>
    <t>Forged hits, forged rewards, duplicate egg grants all rejected</t>
  </si>
  <si>
    <t>NFR-S1 NFR-S5</t>
  </si>
  <si>
    <t>DH-072</t>
  </si>
  <si>
    <t>Bug fix and stabilisation buffer</t>
  </si>
  <si>
    <t>Reserved. Do not plan work into it.</t>
  </si>
  <si>
    <t>DH-073</t>
  </si>
  <si>
    <t>Export the script tree to the repo</t>
  </si>
  <si>
    <t>export_rbxm of the code tree committed to git — the only version control the code has</t>
  </si>
  <si>
    <t>Added 2026-09-28: no Rojo means no automatic git coverage.</t>
  </si>
  <si>
    <t>DH-074</t>
  </si>
  <si>
    <t>Write Maid/Signal/ServiceBag unit checks</t>
  </si>
  <si>
    <t>Each exercised in a playtest: cleanup runs, signal fires, two-phase init order holds</t>
  </si>
  <si>
    <t>Added 2026-09-28: hand-written replacements for Nevermore need proving.</t>
  </si>
  <si>
    <t>74 tasks</t>
  </si>
  <si>
    <t>TOTAL</t>
  </si>
  <si>
    <t>Phase rollup</t>
  </si>
  <si>
    <t>Every figure here is a formula over the Tasks sheet. Nothing to edit.</t>
  </si>
  <si>
    <t>Name</t>
  </si>
  <si>
    <t>Goal</t>
  </si>
  <si>
    <t>Tasks</t>
  </si>
  <si>
    <t>Done (d)</t>
  </si>
  <si>
    <t>% complete</t>
  </si>
  <si>
    <t>Exit criteria</t>
  </si>
  <si>
    <t>Nothing else can start until this is done</t>
  </si>
  <si>
    <t>A trivial Fusion HUD element renders in-game from a file edit</t>
  </si>
  <si>
    <t>Blockout and creature stub</t>
  </si>
  <si>
    <t>Prove one creature, one gun, one lane</t>
  </si>
  <si>
    <t>A creature walks a lane and dies to one rifle shot</t>
  </si>
  <si>
    <t>The wave loop</t>
  </si>
  <si>
    <t>Twenty finite waves with four creature roles</t>
  </si>
  <si>
    <t>A full 20-wave run completes</t>
  </si>
  <si>
    <t>The spine</t>
  </si>
  <si>
    <t>Something to defend; the run can be won or lost</t>
  </si>
  <si>
    <t>A run can be won and lost; the reactor is the objective</t>
  </si>
  <si>
    <t>Boss and exploration</t>
  </si>
  <si>
    <t>The loop the game is actually about</t>
  </si>
  <si>
    <t>Wave 4 boss to sector opens to exploration to safe return</t>
  </si>
  <si>
    <t>The collection loop</t>
  </si>
  <si>
    <t>The reason players come back</t>
  </si>
  <si>
    <t>An egg survives a disconnect and hatches into exactly one pet</t>
  </si>
  <si>
    <t>Players and hardening</t>
  </si>
  <si>
    <t>Make it hold up</t>
  </si>
  <si>
    <t>MVP slice exit criteria met</t>
  </si>
  <si>
    <t>Estimates assume one developer working with Claude Code. Phase 6's buffer is reserved — do not plan work into it.</t>
  </si>
  <si>
    <t>How to use this tracker</t>
  </si>
  <si>
    <t>Editing</t>
  </si>
  <si>
    <t>Change only the Status and Notes columns on the Tasks sheet. Everything else mirrors docs/06-project-plan.md; if the plan changes, the tracker is regenerated from it.</t>
  </si>
  <si>
    <t>Status values</t>
  </si>
  <si>
    <t>Default. No work begun.</t>
  </si>
  <si>
    <t>In progress</t>
  </si>
  <si>
    <t>Actively being worked.</t>
  </si>
  <si>
    <t>Blocked</t>
  </si>
  <si>
    <t>Cannot proceed. Say why in Notes — and if it is a real decision, raise it in docs/03-open-decisions.md.</t>
  </si>
  <si>
    <t>Acceptance criteria met in a Studio play test, verified solo and with 2+ players, no new console errors.</t>
  </si>
  <si>
    <t>Deliberately dropped. Say why in Notes.</t>
  </si>
  <si>
    <t>Priority</t>
  </si>
  <si>
    <t>Must have for the MVP slice.</t>
  </si>
  <si>
    <t>Should have. Cut first if a phase overruns.</t>
  </si>
  <si>
    <t>C</t>
  </si>
  <si>
    <t>Could have.</t>
  </si>
  <si>
    <t>Columns</t>
  </si>
  <si>
    <t>The task ID that must be Done first. Blank means it can start once its phase does.</t>
  </si>
  <si>
    <t>Developer-days. Fractions are deliberate — most tasks are hours, not days.</t>
  </si>
  <si>
    <t>The functional or non-functional requirement in docs/archive/05-sdlc-plan.md. Those 64 requirements survived the greenfield restart unchanged.</t>
  </si>
  <si>
    <t>Definition of Done</t>
  </si>
  <si>
    <t>Acceptance criteria met · verified solo AND multiplayer · no new console errors across a full wave · server-authoritative · numbers live in src/shared/Config with a derivation comment · committed and pushed.</t>
  </si>
  <si>
    <t>Invariants</t>
  </si>
  <si>
    <t>Never break these: wave-1 creature dies to exactly one starter shot · every creature is slower than the player · nothing one-shots a full-health player · one server-wide concurrency cap · the client never reports a hit.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</si>
</sst>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1F2419"/>
      <name val="Arial"/>
    </font>
    <font>
      <sz val="10"/>
      <color rgb="FF5C6155"/>
      <name val="Arial"/>
    </font>
    <font>
      <i/>
      <sz val="9"/>
      <color rgb="FFA8660A"/>
      <name val="Arial"/>
    </font>
    <font>
      <b/>
      <sz val="10"/>
      <color rgb="FFFFFFFF"/>
      <name val="Arial"/>
    </font>
    <font>
      <sz val="10"/>
      <color rgb="FF1F2419"/>
      <name val="Arial"/>
    </font>
    <font>
      <b/>
      <sz val="10"/>
      <color rgb="FF1F2419"/>
      <name val="Arial"/>
    </font>
    <font>
      <sz val="9"/>
      <color rgb="FF5C6155"/>
      <name val="Arial"/>
    </font>
    <font>
      <b/>
      <sz val="11"/>
      <color rgb="FFA8660A"/>
      <name val="Arial"/>
    </font>
  </fonts>
  <fills count="10">
    <fill>
      <patternFill patternType="none"/>
    </fill>
    <fill>
      <patternFill patternType="gray125"/>
    </fill>
    <fill>
      <patternFill patternType="solid">
        <fgColor rgb="FF2E3B2A"/>
      </patternFill>
    </fill>
    <fill>
      <patternFill patternType="solid">
        <fgColor rgb="FFE8EAE3"/>
      </patternFill>
    </fill>
    <fill>
      <patternFill patternType="solid">
        <fgColor rgb="FFE4EDE5"/>
      </patternFill>
    </fill>
    <fill>
      <patternFill patternType="solid">
        <fgColor rgb="FFE6EDDA"/>
      </patternFill>
    </fill>
    <fill>
      <patternFill patternType="solid">
        <fgColor rgb="FFF5E9D8"/>
      </patternFill>
    </fill>
    <fill>
      <patternFill patternType="solid">
        <fgColor rgb="FFF3E2DF"/>
      </patternFill>
    </fill>
    <fill>
      <patternFill patternType="solid">
        <fgColor rgb="FFE7E3F0"/>
      </patternFill>
    </fill>
    <fill>
      <patternFill patternType="solid">
        <fgColor rgb="FFDCE7EF"/>
      </patternFill>
    </fill>
  </fills>
  <borders count="2">
    <border>
      <left/>
      <right/>
      <top/>
      <bottom/>
      <diagonal/>
    </border>
    <border>
      <left style="thin">
        <color rgb="FFD5D8CE"/>
      </left>
      <right style="thin">
        <color rgb="FFD5D8CE"/>
      </right>
      <top style="thin">
        <color rgb="FFD5D8CE"/>
      </top>
      <bottom style="thin">
        <color rgb="FFD5D8CE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2" fontId="5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center" vertical="top"/>
    </xf>
    <xf numFmtId="0" fontId="5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vertical="top"/>
    </xf>
    <xf numFmtId="0" fontId="5" fillId="5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vertical="top"/>
    </xf>
    <xf numFmtId="0" fontId="5" fillId="6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/>
    </xf>
    <xf numFmtId="0" fontId="5" fillId="7" borderId="1" xfId="0" applyFont="1" applyFill="1" applyBorder="1" applyAlignment="1">
      <alignment horizontal="center" vertical="top"/>
    </xf>
    <xf numFmtId="0" fontId="5" fillId="8" borderId="1" xfId="0" applyFont="1" applyFill="1" applyBorder="1" applyAlignment="1">
      <alignment vertical="top"/>
    </xf>
    <xf numFmtId="0" fontId="5" fillId="8" borderId="1" xfId="0" applyFont="1" applyFill="1" applyBorder="1" applyAlignment="1">
      <alignment horizontal="center" vertical="top"/>
    </xf>
    <xf numFmtId="0" fontId="5" fillId="9" borderId="1" xfId="0" applyFont="1" applyFill="1" applyBorder="1" applyAlignment="1">
      <alignment vertical="top"/>
    </xf>
    <xf numFmtId="0" fontId="5" fillId="9" borderId="1" xfId="0" applyFont="1" applyFill="1" applyBorder="1" applyAlignment="1">
      <alignment horizontal="center" vertical="top"/>
    </xf>
    <xf numFmtId="0" fontId="6" fillId="0" borderId="0" xfId="0" applyFont="1"/>
    <xf numFmtId="2" fontId="6" fillId="0" borderId="1" xfId="0" applyNumberFormat="1" applyFont="1" applyBorder="1"/>
    <xf numFmtId="0" fontId="6" fillId="3" borderId="1" xfId="0" applyFont="1" applyFill="1" applyBorder="1" applyAlignment="1">
      <alignment vertical="top"/>
    </xf>
    <xf numFmtId="0" fontId="5" fillId="0" borderId="1" xfId="0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0" fontId="6" fillId="4" borderId="1" xfId="0" applyFont="1" applyFill="1" applyBorder="1" applyAlignment="1">
      <alignment vertical="top"/>
    </xf>
    <xf numFmtId="0" fontId="6" fillId="5" borderId="1" xfId="0" applyFont="1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6" fillId="7" borderId="1" xfId="0" applyFont="1" applyFill="1" applyBorder="1" applyAlignment="1">
      <alignment vertical="top"/>
    </xf>
    <xf numFmtId="0" fontId="6" fillId="8" borderId="1" xfId="0" applyFont="1" applyFill="1" applyBorder="1" applyAlignment="1">
      <alignment vertical="top"/>
    </xf>
    <xf numFmtId="0" fontId="6" fillId="9" borderId="1" xfId="0" applyFont="1" applyFill="1" applyBorder="1" applyAlignment="1">
      <alignment vertical="top"/>
    </xf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7" fillId="0" borderId="0" xfId="0" applyFont="1"/>
    <xf numFmtId="0" fontId="5" fillId="0" borderId="0" xfId="0" applyFont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4">
    <dxf>
      <font>
        <i/>
        <sz val="10"/>
        <color rgb="FF8A8F80"/>
        <name val="Arial"/>
      </font>
      <fill>
        <patternFill patternType="solid">
          <fgColor rgb="FFE8EAE3"/>
        </patternFill>
      </fill>
    </dxf>
    <dxf>
      <font>
        <b/>
        <sz val="10"/>
        <color rgb="FF8C3730"/>
        <name val="Arial"/>
      </font>
      <fill>
        <patternFill patternType="solid">
          <fgColor rgb="FFF4D9D6"/>
        </patternFill>
      </fill>
    </dxf>
    <dxf>
      <font>
        <b/>
        <sz val="10"/>
        <color rgb="FF8A5410"/>
        <name val="Arial"/>
      </font>
      <fill>
        <patternFill patternType="solid">
          <fgColor rgb="FFFBEBD0"/>
        </patternFill>
      </fill>
    </dxf>
    <dxf>
      <font>
        <b/>
        <sz val="10"/>
        <color rgb="FF27543A"/>
        <name val="Arial"/>
      </font>
      <fill>
        <patternFill patternType="solid">
          <fgColor rgb="FFCDE5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9" customWidth="1"/>
    <col min="2" max="2" width="7" customWidth="1"/>
    <col min="3" max="3" width="12" customWidth="1"/>
    <col min="4" max="4" width="40" customWidth="1"/>
    <col min="5" max="5" width="52" customWidth="1"/>
    <col min="6" max="6" width="11" customWidth="1"/>
    <col min="7" max="7" width="8" customWidth="1"/>
    <col min="8" max="8" width="6" customWidth="1"/>
    <col min="9" max="9" width="13" customWidth="1"/>
    <col min="10" max="10" width="14" customWidth="1"/>
    <col min="11" max="11" width="30" customWidth="1"/>
  </cols>
  <sheetData>
    <row r="1" spans="1:11" ht="18" customHeight="1" x14ac:dyDescent="0.25">
      <c r="A1" s="1" t="s">
        <v>0</v>
      </c>
    </row>
    <row r="2" spans="1:11" x14ac:dyDescent="0.25">
      <c r="A2" s="2" t="s">
        <v>1</v>
      </c>
    </row>
    <row r="3" spans="1:11" x14ac:dyDescent="0.25">
      <c r="A3" s="3" t="s">
        <v>2</v>
      </c>
    </row>
    <row r="5" spans="1:1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 ht="25.5" customHeight="1" x14ac:dyDescent="0.25">
      <c r="A6" s="5" t="s">
        <v>14</v>
      </c>
      <c r="B6" s="6">
        <v>0</v>
      </c>
      <c r="C6" s="5" t="s">
        <v>15</v>
      </c>
      <c r="D6" s="7" t="s">
        <v>16</v>
      </c>
      <c r="E6" s="8" t="s">
        <v>17</v>
      </c>
      <c r="F6" s="9"/>
      <c r="G6" s="10">
        <v>0.25</v>
      </c>
      <c r="H6" s="11" t="s">
        <v>18</v>
      </c>
      <c r="I6" s="9" t="s">
        <v>19</v>
      </c>
      <c r="J6" s="9"/>
      <c r="K6" s="8" t="s">
        <v>20</v>
      </c>
    </row>
    <row r="7" spans="1:11" ht="25.5" customHeight="1" x14ac:dyDescent="0.25">
      <c r="A7" s="5" t="s">
        <v>21</v>
      </c>
      <c r="B7" s="6">
        <v>0</v>
      </c>
      <c r="C7" s="5" t="s">
        <v>15</v>
      </c>
      <c r="D7" s="7" t="s">
        <v>22</v>
      </c>
      <c r="E7" s="8" t="s">
        <v>23</v>
      </c>
      <c r="F7" s="9" t="s">
        <v>14</v>
      </c>
      <c r="G7" s="10">
        <v>0.5</v>
      </c>
      <c r="H7" s="11" t="s">
        <v>18</v>
      </c>
      <c r="I7" s="9" t="s">
        <v>19</v>
      </c>
      <c r="J7" s="9"/>
      <c r="K7" s="8" t="s">
        <v>24</v>
      </c>
    </row>
    <row r="8" spans="1:11" ht="25.5" customHeight="1" x14ac:dyDescent="0.25">
      <c r="A8" s="5" t="s">
        <v>25</v>
      </c>
      <c r="B8" s="6">
        <v>0</v>
      </c>
      <c r="C8" s="5" t="s">
        <v>15</v>
      </c>
      <c r="D8" s="7" t="s">
        <v>26</v>
      </c>
      <c r="E8" s="8" t="s">
        <v>27</v>
      </c>
      <c r="F8" s="9" t="s">
        <v>14</v>
      </c>
      <c r="G8" s="10">
        <v>0.25</v>
      </c>
      <c r="H8" s="11" t="s">
        <v>18</v>
      </c>
      <c r="I8" s="9" t="s">
        <v>19</v>
      </c>
      <c r="J8" s="9"/>
      <c r="K8" s="8" t="s">
        <v>28</v>
      </c>
    </row>
    <row r="9" spans="1:11" ht="25.5" x14ac:dyDescent="0.25">
      <c r="A9" s="5" t="s">
        <v>29</v>
      </c>
      <c r="B9" s="6">
        <v>0</v>
      </c>
      <c r="C9" s="5" t="s">
        <v>15</v>
      </c>
      <c r="D9" s="7" t="s">
        <v>30</v>
      </c>
      <c r="E9" s="8" t="s">
        <v>31</v>
      </c>
      <c r="F9" s="9" t="s">
        <v>14</v>
      </c>
      <c r="G9" s="10">
        <v>0.25</v>
      </c>
      <c r="H9" s="11" t="s">
        <v>18</v>
      </c>
      <c r="I9" s="9" t="s">
        <v>32</v>
      </c>
      <c r="J9" s="9"/>
      <c r="K9" s="8" t="s">
        <v>33</v>
      </c>
    </row>
    <row r="10" spans="1:11" ht="25.5" customHeight="1" x14ac:dyDescent="0.25">
      <c r="A10" s="5" t="s">
        <v>34</v>
      </c>
      <c r="B10" s="6">
        <v>0</v>
      </c>
      <c r="C10" s="5" t="s">
        <v>35</v>
      </c>
      <c r="D10" s="7" t="s">
        <v>36</v>
      </c>
      <c r="E10" s="8" t="s">
        <v>37</v>
      </c>
      <c r="F10" s="9" t="s">
        <v>25</v>
      </c>
      <c r="G10" s="10">
        <v>0.25</v>
      </c>
      <c r="H10" s="11" t="s">
        <v>18</v>
      </c>
      <c r="I10" s="9" t="s">
        <v>38</v>
      </c>
      <c r="J10" s="9"/>
      <c r="K10" s="8" t="s">
        <v>39</v>
      </c>
    </row>
    <row r="11" spans="1:11" ht="25.5" customHeight="1" x14ac:dyDescent="0.25">
      <c r="A11" s="5" t="s">
        <v>40</v>
      </c>
      <c r="B11" s="6">
        <v>0</v>
      </c>
      <c r="C11" s="5" t="s">
        <v>35</v>
      </c>
      <c r="D11" s="7" t="s">
        <v>41</v>
      </c>
      <c r="E11" s="8" t="s">
        <v>42</v>
      </c>
      <c r="F11" s="9" t="s">
        <v>34</v>
      </c>
      <c r="G11" s="10">
        <v>0.5</v>
      </c>
      <c r="H11" s="11" t="s">
        <v>18</v>
      </c>
      <c r="I11" s="9" t="s">
        <v>38</v>
      </c>
      <c r="J11" s="9"/>
      <c r="K11" s="8" t="s">
        <v>43</v>
      </c>
    </row>
    <row r="12" spans="1:11" ht="38.25" x14ac:dyDescent="0.25">
      <c r="A12" s="5" t="s">
        <v>44</v>
      </c>
      <c r="B12" s="6">
        <v>0</v>
      </c>
      <c r="C12" s="5" t="s">
        <v>15</v>
      </c>
      <c r="D12" s="7" t="s">
        <v>45</v>
      </c>
      <c r="E12" s="8" t="s">
        <v>46</v>
      </c>
      <c r="F12" s="9" t="s">
        <v>40</v>
      </c>
      <c r="G12" s="10">
        <v>0.25</v>
      </c>
      <c r="H12" s="11" t="s">
        <v>18</v>
      </c>
      <c r="I12" s="9" t="s">
        <v>19</v>
      </c>
      <c r="J12" s="9"/>
      <c r="K12" s="8" t="s">
        <v>47</v>
      </c>
    </row>
    <row r="13" spans="1:11" ht="25.5" customHeight="1" x14ac:dyDescent="0.25">
      <c r="A13" s="5" t="s">
        <v>48</v>
      </c>
      <c r="B13" s="6">
        <v>0</v>
      </c>
      <c r="C13" s="5" t="s">
        <v>49</v>
      </c>
      <c r="D13" s="7" t="s">
        <v>50</v>
      </c>
      <c r="E13" s="8" t="s">
        <v>51</v>
      </c>
      <c r="F13" s="9" t="s">
        <v>44</v>
      </c>
      <c r="G13" s="10">
        <v>0.5</v>
      </c>
      <c r="H13" s="11" t="s">
        <v>18</v>
      </c>
      <c r="I13" s="9" t="s">
        <v>38</v>
      </c>
      <c r="J13" s="9"/>
      <c r="K13" s="8" t="s">
        <v>52</v>
      </c>
    </row>
    <row r="14" spans="1:11" x14ac:dyDescent="0.25">
      <c r="A14" s="5" t="s">
        <v>53</v>
      </c>
      <c r="B14" s="6">
        <v>0</v>
      </c>
      <c r="C14" s="5" t="s">
        <v>54</v>
      </c>
      <c r="D14" s="7" t="s">
        <v>55</v>
      </c>
      <c r="E14" s="8" t="s">
        <v>56</v>
      </c>
      <c r="F14" s="9" t="s">
        <v>48</v>
      </c>
      <c r="G14" s="10">
        <v>0.25</v>
      </c>
      <c r="H14" s="11" t="s">
        <v>18</v>
      </c>
      <c r="I14" s="9" t="s">
        <v>32</v>
      </c>
      <c r="J14" s="9"/>
      <c r="K14" s="8"/>
    </row>
    <row r="15" spans="1:11" x14ac:dyDescent="0.25">
      <c r="A15" s="12" t="s">
        <v>57</v>
      </c>
      <c r="B15" s="13">
        <v>1</v>
      </c>
      <c r="C15" s="12" t="s">
        <v>58</v>
      </c>
      <c r="D15" s="7" t="s">
        <v>59</v>
      </c>
      <c r="E15" s="8" t="s">
        <v>60</v>
      </c>
      <c r="F15" s="9" t="s">
        <v>53</v>
      </c>
      <c r="G15" s="10">
        <v>0.5</v>
      </c>
      <c r="H15" s="11" t="s">
        <v>18</v>
      </c>
      <c r="I15" s="9" t="s">
        <v>32</v>
      </c>
      <c r="J15" s="9" t="s">
        <v>61</v>
      </c>
      <c r="K15" s="8"/>
    </row>
    <row r="16" spans="1:11" ht="25.5" customHeight="1" x14ac:dyDescent="0.25">
      <c r="A16" s="12" t="s">
        <v>62</v>
      </c>
      <c r="B16" s="13">
        <v>1</v>
      </c>
      <c r="C16" s="12" t="s">
        <v>58</v>
      </c>
      <c r="D16" s="7" t="s">
        <v>63</v>
      </c>
      <c r="E16" s="8" t="s">
        <v>64</v>
      </c>
      <c r="F16" s="9" t="s">
        <v>57</v>
      </c>
      <c r="G16" s="10">
        <v>0.5</v>
      </c>
      <c r="H16" s="11" t="s">
        <v>18</v>
      </c>
      <c r="I16" s="9" t="s">
        <v>32</v>
      </c>
      <c r="J16" s="9"/>
      <c r="K16" s="8"/>
    </row>
    <row r="17" spans="1:11" x14ac:dyDescent="0.25">
      <c r="A17" s="12" t="s">
        <v>65</v>
      </c>
      <c r="B17" s="13">
        <v>1</v>
      </c>
      <c r="C17" s="12" t="s">
        <v>58</v>
      </c>
      <c r="D17" s="7" t="s">
        <v>66</v>
      </c>
      <c r="E17" s="8" t="s">
        <v>67</v>
      </c>
      <c r="F17" s="9" t="s">
        <v>57</v>
      </c>
      <c r="G17" s="10">
        <v>0.5</v>
      </c>
      <c r="H17" s="11" t="s">
        <v>18</v>
      </c>
      <c r="I17" s="9" t="s">
        <v>32</v>
      </c>
      <c r="J17" s="9" t="s">
        <v>68</v>
      </c>
      <c r="K17" s="8"/>
    </row>
    <row r="18" spans="1:11" ht="25.5" customHeight="1" x14ac:dyDescent="0.25">
      <c r="A18" s="12" t="s">
        <v>69</v>
      </c>
      <c r="B18" s="13">
        <v>1</v>
      </c>
      <c r="C18" s="12" t="s">
        <v>58</v>
      </c>
      <c r="D18" s="7" t="s">
        <v>70</v>
      </c>
      <c r="E18" s="8" t="s">
        <v>71</v>
      </c>
      <c r="F18" s="9" t="s">
        <v>65</v>
      </c>
      <c r="G18" s="10">
        <v>0.25</v>
      </c>
      <c r="H18" s="11" t="s">
        <v>18</v>
      </c>
      <c r="I18" s="9" t="s">
        <v>32</v>
      </c>
      <c r="J18" s="9"/>
      <c r="K18" s="8"/>
    </row>
    <row r="19" spans="1:11" ht="25.5" customHeight="1" x14ac:dyDescent="0.25">
      <c r="A19" s="12" t="s">
        <v>72</v>
      </c>
      <c r="B19" s="13">
        <v>1</v>
      </c>
      <c r="C19" s="12" t="s">
        <v>73</v>
      </c>
      <c r="D19" s="7" t="s">
        <v>74</v>
      </c>
      <c r="E19" s="8" t="s">
        <v>75</v>
      </c>
      <c r="F19" s="9" t="s">
        <v>53</v>
      </c>
      <c r="G19" s="10">
        <v>0.5</v>
      </c>
      <c r="H19" s="11" t="s">
        <v>18</v>
      </c>
      <c r="I19" s="9" t="s">
        <v>32</v>
      </c>
      <c r="J19" s="9" t="s">
        <v>76</v>
      </c>
      <c r="K19" s="8"/>
    </row>
    <row r="20" spans="1:11" x14ac:dyDescent="0.25">
      <c r="A20" s="12" t="s">
        <v>77</v>
      </c>
      <c r="B20" s="13">
        <v>1</v>
      </c>
      <c r="C20" s="12" t="s">
        <v>78</v>
      </c>
      <c r="D20" s="7" t="s">
        <v>79</v>
      </c>
      <c r="E20" s="8" t="s">
        <v>80</v>
      </c>
      <c r="F20" s="9" t="s">
        <v>53</v>
      </c>
      <c r="G20" s="10">
        <v>0.5</v>
      </c>
      <c r="H20" s="11" t="s">
        <v>18</v>
      </c>
      <c r="I20" s="9" t="s">
        <v>32</v>
      </c>
      <c r="J20" s="9" t="s">
        <v>76</v>
      </c>
      <c r="K20" s="8"/>
    </row>
    <row r="21" spans="1:11" x14ac:dyDescent="0.25">
      <c r="A21" s="12" t="s">
        <v>81</v>
      </c>
      <c r="B21" s="13">
        <v>1</v>
      </c>
      <c r="C21" s="12" t="s">
        <v>78</v>
      </c>
      <c r="D21" s="7" t="s">
        <v>82</v>
      </c>
      <c r="E21" s="8" t="s">
        <v>83</v>
      </c>
      <c r="F21" s="9" t="s">
        <v>72</v>
      </c>
      <c r="G21" s="10">
        <v>0.75</v>
      </c>
      <c r="H21" s="11" t="s">
        <v>18</v>
      </c>
      <c r="I21" s="9" t="s">
        <v>32</v>
      </c>
      <c r="J21" s="9" t="s">
        <v>84</v>
      </c>
      <c r="K21" s="8"/>
    </row>
    <row r="22" spans="1:11" x14ac:dyDescent="0.25">
      <c r="A22" s="12" t="s">
        <v>85</v>
      </c>
      <c r="B22" s="13">
        <v>1</v>
      </c>
      <c r="C22" s="12" t="s">
        <v>78</v>
      </c>
      <c r="D22" s="7" t="s">
        <v>86</v>
      </c>
      <c r="E22" s="8" t="s">
        <v>87</v>
      </c>
      <c r="F22" s="9" t="s">
        <v>81</v>
      </c>
      <c r="G22" s="10">
        <v>0.25</v>
      </c>
      <c r="H22" s="11" t="s">
        <v>18</v>
      </c>
      <c r="I22" s="9" t="s">
        <v>32</v>
      </c>
      <c r="J22" s="9" t="s">
        <v>88</v>
      </c>
      <c r="K22" s="8"/>
    </row>
    <row r="23" spans="1:11" x14ac:dyDescent="0.25">
      <c r="A23" s="12" t="s">
        <v>89</v>
      </c>
      <c r="B23" s="13">
        <v>1</v>
      </c>
      <c r="C23" s="12" t="s">
        <v>78</v>
      </c>
      <c r="D23" s="7" t="s">
        <v>90</v>
      </c>
      <c r="E23" s="8" t="s">
        <v>91</v>
      </c>
      <c r="F23" s="9" t="s">
        <v>81</v>
      </c>
      <c r="G23" s="10">
        <v>0.75</v>
      </c>
      <c r="H23" s="11" t="s">
        <v>18</v>
      </c>
      <c r="I23" s="9" t="s">
        <v>32</v>
      </c>
      <c r="J23" s="9"/>
      <c r="K23" s="8"/>
    </row>
    <row r="24" spans="1:11" x14ac:dyDescent="0.25">
      <c r="A24" s="12" t="s">
        <v>92</v>
      </c>
      <c r="B24" s="13">
        <v>1</v>
      </c>
      <c r="C24" s="12" t="s">
        <v>93</v>
      </c>
      <c r="D24" s="7" t="s">
        <v>94</v>
      </c>
      <c r="E24" s="8" t="s">
        <v>95</v>
      </c>
      <c r="F24" s="9" t="s">
        <v>40</v>
      </c>
      <c r="G24" s="10">
        <v>1</v>
      </c>
      <c r="H24" s="11" t="s">
        <v>18</v>
      </c>
      <c r="I24" s="9" t="s">
        <v>32</v>
      </c>
      <c r="J24" s="9" t="s">
        <v>96</v>
      </c>
      <c r="K24" s="8"/>
    </row>
    <row r="25" spans="1:11" ht="25.5" customHeight="1" x14ac:dyDescent="0.25">
      <c r="A25" s="12" t="s">
        <v>97</v>
      </c>
      <c r="B25" s="13">
        <v>1</v>
      </c>
      <c r="C25" s="12" t="s">
        <v>93</v>
      </c>
      <c r="D25" s="7" t="s">
        <v>98</v>
      </c>
      <c r="E25" s="8" t="s">
        <v>99</v>
      </c>
      <c r="F25" s="9" t="s">
        <v>92</v>
      </c>
      <c r="G25" s="10">
        <v>0.5</v>
      </c>
      <c r="H25" s="11" t="s">
        <v>18</v>
      </c>
      <c r="I25" s="9" t="s">
        <v>32</v>
      </c>
      <c r="J25" s="9" t="s">
        <v>100</v>
      </c>
      <c r="K25" s="8"/>
    </row>
    <row r="26" spans="1:11" x14ac:dyDescent="0.25">
      <c r="A26" s="14" t="s">
        <v>101</v>
      </c>
      <c r="B26" s="15">
        <v>2</v>
      </c>
      <c r="C26" s="14" t="s">
        <v>102</v>
      </c>
      <c r="D26" s="7" t="s">
        <v>103</v>
      </c>
      <c r="E26" s="8" t="s">
        <v>104</v>
      </c>
      <c r="F26" s="9" t="s">
        <v>97</v>
      </c>
      <c r="G26" s="10">
        <v>1</v>
      </c>
      <c r="H26" s="11" t="s">
        <v>18</v>
      </c>
      <c r="I26" s="9" t="s">
        <v>32</v>
      </c>
      <c r="J26" s="9" t="s">
        <v>105</v>
      </c>
      <c r="K26" s="8"/>
    </row>
    <row r="27" spans="1:11" x14ac:dyDescent="0.25">
      <c r="A27" s="14" t="s">
        <v>106</v>
      </c>
      <c r="B27" s="15">
        <v>2</v>
      </c>
      <c r="C27" s="14" t="s">
        <v>102</v>
      </c>
      <c r="D27" s="7" t="s">
        <v>107</v>
      </c>
      <c r="E27" s="8" t="s">
        <v>108</v>
      </c>
      <c r="F27" s="9" t="s">
        <v>101</v>
      </c>
      <c r="G27" s="10">
        <v>0.5</v>
      </c>
      <c r="H27" s="11" t="s">
        <v>18</v>
      </c>
      <c r="I27" s="9" t="s">
        <v>32</v>
      </c>
      <c r="J27" s="9"/>
      <c r="K27" s="8"/>
    </row>
    <row r="28" spans="1:11" x14ac:dyDescent="0.25">
      <c r="A28" s="14" t="s">
        <v>109</v>
      </c>
      <c r="B28" s="15">
        <v>2</v>
      </c>
      <c r="C28" s="14" t="s">
        <v>102</v>
      </c>
      <c r="D28" s="7" t="s">
        <v>110</v>
      </c>
      <c r="E28" s="8" t="s">
        <v>111</v>
      </c>
      <c r="F28" s="9" t="s">
        <v>106</v>
      </c>
      <c r="G28" s="10">
        <v>0.5</v>
      </c>
      <c r="H28" s="11" t="s">
        <v>18</v>
      </c>
      <c r="I28" s="9" t="s">
        <v>32</v>
      </c>
      <c r="J28" s="9" t="s">
        <v>88</v>
      </c>
      <c r="K28" s="8"/>
    </row>
    <row r="29" spans="1:11" x14ac:dyDescent="0.25">
      <c r="A29" s="14" t="s">
        <v>112</v>
      </c>
      <c r="B29" s="15">
        <v>2</v>
      </c>
      <c r="C29" s="14" t="s">
        <v>102</v>
      </c>
      <c r="D29" s="7" t="s">
        <v>113</v>
      </c>
      <c r="E29" s="8" t="s">
        <v>114</v>
      </c>
      <c r="F29" s="9" t="s">
        <v>101</v>
      </c>
      <c r="G29" s="10">
        <v>0.5</v>
      </c>
      <c r="H29" s="11" t="s">
        <v>18</v>
      </c>
      <c r="I29" s="9" t="s">
        <v>32</v>
      </c>
      <c r="J29" s="9" t="s">
        <v>115</v>
      </c>
      <c r="K29" s="8"/>
    </row>
    <row r="30" spans="1:11" x14ac:dyDescent="0.25">
      <c r="A30" s="14" t="s">
        <v>116</v>
      </c>
      <c r="B30" s="15">
        <v>2</v>
      </c>
      <c r="C30" s="14" t="s">
        <v>78</v>
      </c>
      <c r="D30" s="7" t="s">
        <v>117</v>
      </c>
      <c r="E30" s="8" t="s">
        <v>118</v>
      </c>
      <c r="F30" s="9" t="s">
        <v>77</v>
      </c>
      <c r="G30" s="10">
        <v>0.4</v>
      </c>
      <c r="H30" s="11" t="s">
        <v>18</v>
      </c>
      <c r="I30" s="9" t="s">
        <v>32</v>
      </c>
      <c r="J30" s="9" t="s">
        <v>76</v>
      </c>
      <c r="K30" s="8"/>
    </row>
    <row r="31" spans="1:11" x14ac:dyDescent="0.25">
      <c r="A31" s="14" t="s">
        <v>119</v>
      </c>
      <c r="B31" s="15">
        <v>2</v>
      </c>
      <c r="C31" s="14" t="s">
        <v>78</v>
      </c>
      <c r="D31" s="7" t="s">
        <v>120</v>
      </c>
      <c r="E31" s="8" t="s">
        <v>121</v>
      </c>
      <c r="F31" s="9" t="s">
        <v>77</v>
      </c>
      <c r="G31" s="10">
        <v>0.4</v>
      </c>
      <c r="H31" s="11" t="s">
        <v>18</v>
      </c>
      <c r="I31" s="9" t="s">
        <v>32</v>
      </c>
      <c r="J31" s="9" t="s">
        <v>76</v>
      </c>
      <c r="K31" s="8"/>
    </row>
    <row r="32" spans="1:11" x14ac:dyDescent="0.25">
      <c r="A32" s="14" t="s">
        <v>122</v>
      </c>
      <c r="B32" s="15">
        <v>2</v>
      </c>
      <c r="C32" s="14" t="s">
        <v>78</v>
      </c>
      <c r="D32" s="7" t="s">
        <v>123</v>
      </c>
      <c r="E32" s="8" t="s">
        <v>124</v>
      </c>
      <c r="F32" s="9" t="s">
        <v>77</v>
      </c>
      <c r="G32" s="10">
        <v>0.6</v>
      </c>
      <c r="H32" s="11" t="s">
        <v>18</v>
      </c>
      <c r="I32" s="9" t="s">
        <v>32</v>
      </c>
      <c r="J32" s="9" t="s">
        <v>76</v>
      </c>
      <c r="K32" s="8"/>
    </row>
    <row r="33" spans="1:11" x14ac:dyDescent="0.25">
      <c r="A33" s="14" t="s">
        <v>125</v>
      </c>
      <c r="B33" s="15">
        <v>2</v>
      </c>
      <c r="C33" s="14" t="s">
        <v>93</v>
      </c>
      <c r="D33" s="7" t="s">
        <v>126</v>
      </c>
      <c r="E33" s="8" t="s">
        <v>127</v>
      </c>
      <c r="F33" s="9" t="s">
        <v>119</v>
      </c>
      <c r="G33" s="10">
        <v>0.75</v>
      </c>
      <c r="H33" s="11" t="s">
        <v>18</v>
      </c>
      <c r="I33" s="9" t="s">
        <v>32</v>
      </c>
      <c r="J33" s="9"/>
      <c r="K33" s="8"/>
    </row>
    <row r="34" spans="1:11" x14ac:dyDescent="0.25">
      <c r="A34" s="14" t="s">
        <v>128</v>
      </c>
      <c r="B34" s="15">
        <v>2</v>
      </c>
      <c r="C34" s="14" t="s">
        <v>102</v>
      </c>
      <c r="D34" s="7" t="s">
        <v>129</v>
      </c>
      <c r="E34" s="8" t="s">
        <v>130</v>
      </c>
      <c r="F34" s="9" t="s">
        <v>101</v>
      </c>
      <c r="G34" s="10">
        <v>0.4</v>
      </c>
      <c r="H34" s="11" t="s">
        <v>18</v>
      </c>
      <c r="I34" s="9" t="s">
        <v>32</v>
      </c>
      <c r="J34" s="9" t="s">
        <v>131</v>
      </c>
      <c r="K34" s="8"/>
    </row>
    <row r="35" spans="1:11" x14ac:dyDescent="0.25">
      <c r="A35" s="14" t="s">
        <v>132</v>
      </c>
      <c r="B35" s="15">
        <v>2</v>
      </c>
      <c r="C35" s="14" t="s">
        <v>102</v>
      </c>
      <c r="D35" s="7" t="s">
        <v>133</v>
      </c>
      <c r="E35" s="8" t="s">
        <v>134</v>
      </c>
      <c r="F35" s="9" t="s">
        <v>101</v>
      </c>
      <c r="G35" s="10">
        <v>0.25</v>
      </c>
      <c r="H35" s="11" t="s">
        <v>18</v>
      </c>
      <c r="I35" s="9" t="s">
        <v>32</v>
      </c>
      <c r="J35" s="9" t="s">
        <v>135</v>
      </c>
      <c r="K35" s="8"/>
    </row>
    <row r="36" spans="1:11" x14ac:dyDescent="0.25">
      <c r="A36" s="16" t="s">
        <v>136</v>
      </c>
      <c r="B36" s="17">
        <v>3</v>
      </c>
      <c r="C36" s="16" t="s">
        <v>137</v>
      </c>
      <c r="D36" s="7" t="s">
        <v>138</v>
      </c>
      <c r="E36" s="8" t="s">
        <v>139</v>
      </c>
      <c r="F36" s="9" t="s">
        <v>57</v>
      </c>
      <c r="G36" s="10">
        <v>0.5</v>
      </c>
      <c r="H36" s="11" t="s">
        <v>18</v>
      </c>
      <c r="I36" s="9" t="s">
        <v>32</v>
      </c>
      <c r="J36" s="9" t="s">
        <v>61</v>
      </c>
      <c r="K36" s="8"/>
    </row>
    <row r="37" spans="1:11" x14ac:dyDescent="0.25">
      <c r="A37" s="16" t="s">
        <v>140</v>
      </c>
      <c r="B37" s="17">
        <v>3</v>
      </c>
      <c r="C37" s="16" t="s">
        <v>137</v>
      </c>
      <c r="D37" s="7" t="s">
        <v>141</v>
      </c>
      <c r="E37" s="8" t="s">
        <v>142</v>
      </c>
      <c r="F37" s="9" t="s">
        <v>136</v>
      </c>
      <c r="G37" s="10">
        <v>0.75</v>
      </c>
      <c r="H37" s="11" t="s">
        <v>18</v>
      </c>
      <c r="I37" s="9" t="s">
        <v>32</v>
      </c>
      <c r="J37" s="9" t="s">
        <v>143</v>
      </c>
      <c r="K37" s="8"/>
    </row>
    <row r="38" spans="1:11" x14ac:dyDescent="0.25">
      <c r="A38" s="16" t="s">
        <v>144</v>
      </c>
      <c r="B38" s="17">
        <v>3</v>
      </c>
      <c r="C38" s="16" t="s">
        <v>137</v>
      </c>
      <c r="D38" s="7" t="s">
        <v>145</v>
      </c>
      <c r="E38" s="8" t="s">
        <v>146</v>
      </c>
      <c r="F38" s="9" t="s">
        <v>140</v>
      </c>
      <c r="G38" s="10">
        <v>0.5</v>
      </c>
      <c r="H38" s="11" t="s">
        <v>18</v>
      </c>
      <c r="I38" s="9" t="s">
        <v>32</v>
      </c>
      <c r="J38" s="9" t="s">
        <v>147</v>
      </c>
      <c r="K38" s="8"/>
    </row>
    <row r="39" spans="1:11" x14ac:dyDescent="0.25">
      <c r="A39" s="16" t="s">
        <v>148</v>
      </c>
      <c r="B39" s="17">
        <v>3</v>
      </c>
      <c r="C39" s="16" t="s">
        <v>137</v>
      </c>
      <c r="D39" s="7" t="s">
        <v>149</v>
      </c>
      <c r="E39" s="8" t="s">
        <v>150</v>
      </c>
      <c r="F39" s="9" t="s">
        <v>140</v>
      </c>
      <c r="G39" s="10">
        <v>0.4</v>
      </c>
      <c r="H39" s="11" t="s">
        <v>18</v>
      </c>
      <c r="I39" s="9" t="s">
        <v>32</v>
      </c>
      <c r="J39" s="9" t="s">
        <v>135</v>
      </c>
      <c r="K39" s="8"/>
    </row>
    <row r="40" spans="1:11" x14ac:dyDescent="0.25">
      <c r="A40" s="16" t="s">
        <v>151</v>
      </c>
      <c r="B40" s="17">
        <v>3</v>
      </c>
      <c r="C40" s="16" t="s">
        <v>152</v>
      </c>
      <c r="D40" s="7" t="s">
        <v>153</v>
      </c>
      <c r="E40" s="8" t="s">
        <v>154</v>
      </c>
      <c r="F40" s="9" t="s">
        <v>136</v>
      </c>
      <c r="G40" s="10">
        <v>0.5</v>
      </c>
      <c r="H40" s="11" t="s">
        <v>18</v>
      </c>
      <c r="I40" s="9" t="s">
        <v>32</v>
      </c>
      <c r="J40" s="9" t="s">
        <v>155</v>
      </c>
      <c r="K40" s="8"/>
    </row>
    <row r="41" spans="1:11" ht="25.5" customHeight="1" x14ac:dyDescent="0.25">
      <c r="A41" s="16" t="s">
        <v>156</v>
      </c>
      <c r="B41" s="17">
        <v>3</v>
      </c>
      <c r="C41" s="16" t="s">
        <v>152</v>
      </c>
      <c r="D41" s="7" t="s">
        <v>157</v>
      </c>
      <c r="E41" s="8" t="s">
        <v>158</v>
      </c>
      <c r="F41" s="9" t="s">
        <v>151</v>
      </c>
      <c r="G41" s="10">
        <v>0.75</v>
      </c>
      <c r="H41" s="11" t="s">
        <v>18</v>
      </c>
      <c r="I41" s="9" t="s">
        <v>32</v>
      </c>
      <c r="J41" s="9" t="s">
        <v>159</v>
      </c>
      <c r="K41" s="8"/>
    </row>
    <row r="42" spans="1:11" x14ac:dyDescent="0.25">
      <c r="A42" s="16" t="s">
        <v>160</v>
      </c>
      <c r="B42" s="17">
        <v>3</v>
      </c>
      <c r="C42" s="16" t="s">
        <v>152</v>
      </c>
      <c r="D42" s="7" t="s">
        <v>161</v>
      </c>
      <c r="E42" s="8" t="s">
        <v>162</v>
      </c>
      <c r="F42" s="9" t="s">
        <v>156</v>
      </c>
      <c r="G42" s="10">
        <v>0.5</v>
      </c>
      <c r="H42" s="11" t="s">
        <v>18</v>
      </c>
      <c r="I42" s="9" t="s">
        <v>32</v>
      </c>
      <c r="J42" s="9" t="s">
        <v>163</v>
      </c>
      <c r="K42" s="8"/>
    </row>
    <row r="43" spans="1:11" ht="25.5" customHeight="1" x14ac:dyDescent="0.25">
      <c r="A43" s="16" t="s">
        <v>164</v>
      </c>
      <c r="B43" s="17">
        <v>3</v>
      </c>
      <c r="C43" s="16" t="s">
        <v>152</v>
      </c>
      <c r="D43" s="7" t="s">
        <v>165</v>
      </c>
      <c r="E43" s="8" t="s">
        <v>166</v>
      </c>
      <c r="F43" s="9" t="s">
        <v>160</v>
      </c>
      <c r="G43" s="10">
        <v>0.5</v>
      </c>
      <c r="H43" s="11" t="s">
        <v>18</v>
      </c>
      <c r="I43" s="9" t="s">
        <v>32</v>
      </c>
      <c r="J43" s="9" t="s">
        <v>167</v>
      </c>
      <c r="K43" s="8"/>
    </row>
    <row r="44" spans="1:11" x14ac:dyDescent="0.25">
      <c r="A44" s="16" t="s">
        <v>168</v>
      </c>
      <c r="B44" s="17">
        <v>3</v>
      </c>
      <c r="C44" s="16" t="s">
        <v>49</v>
      </c>
      <c r="D44" s="7" t="s">
        <v>169</v>
      </c>
      <c r="E44" s="8" t="s">
        <v>170</v>
      </c>
      <c r="F44" s="9" t="s">
        <v>136</v>
      </c>
      <c r="G44" s="10">
        <v>0.4</v>
      </c>
      <c r="H44" s="11" t="s">
        <v>18</v>
      </c>
      <c r="I44" s="9" t="s">
        <v>32</v>
      </c>
      <c r="J44" s="9"/>
      <c r="K44" s="8"/>
    </row>
    <row r="45" spans="1:11" x14ac:dyDescent="0.25">
      <c r="A45" s="16" t="s">
        <v>171</v>
      </c>
      <c r="B45" s="17">
        <v>3</v>
      </c>
      <c r="C45" s="16" t="s">
        <v>49</v>
      </c>
      <c r="D45" s="7" t="s">
        <v>172</v>
      </c>
      <c r="E45" s="8" t="s">
        <v>173</v>
      </c>
      <c r="F45" s="9" t="s">
        <v>160</v>
      </c>
      <c r="G45" s="10">
        <v>0.5</v>
      </c>
      <c r="H45" s="11" t="s">
        <v>18</v>
      </c>
      <c r="I45" s="9" t="s">
        <v>32</v>
      </c>
      <c r="J45" s="9"/>
      <c r="K45" s="8"/>
    </row>
    <row r="46" spans="1:11" ht="25.5" customHeight="1" x14ac:dyDescent="0.25">
      <c r="A46" s="16" t="s">
        <v>174</v>
      </c>
      <c r="B46" s="17">
        <v>3</v>
      </c>
      <c r="C46" s="16" t="s">
        <v>49</v>
      </c>
      <c r="D46" s="7" t="s">
        <v>175</v>
      </c>
      <c r="E46" s="8" t="s">
        <v>176</v>
      </c>
      <c r="F46" s="9" t="s">
        <v>101</v>
      </c>
      <c r="G46" s="10">
        <v>0.4</v>
      </c>
      <c r="H46" s="11" t="s">
        <v>18</v>
      </c>
      <c r="I46" s="9" t="s">
        <v>32</v>
      </c>
      <c r="J46" s="9"/>
      <c r="K46" s="8"/>
    </row>
    <row r="47" spans="1:11" ht="25.5" customHeight="1" x14ac:dyDescent="0.25">
      <c r="A47" s="18" t="s">
        <v>177</v>
      </c>
      <c r="B47" s="19">
        <v>4</v>
      </c>
      <c r="C47" s="18" t="s">
        <v>178</v>
      </c>
      <c r="D47" s="7" t="s">
        <v>179</v>
      </c>
      <c r="E47" s="8" t="s">
        <v>180</v>
      </c>
      <c r="F47" s="9" t="s">
        <v>101</v>
      </c>
      <c r="G47" s="10">
        <v>1</v>
      </c>
      <c r="H47" s="11" t="s">
        <v>18</v>
      </c>
      <c r="I47" s="9" t="s">
        <v>32</v>
      </c>
      <c r="J47" s="9" t="s">
        <v>181</v>
      </c>
      <c r="K47" s="8"/>
    </row>
    <row r="48" spans="1:11" x14ac:dyDescent="0.25">
      <c r="A48" s="18" t="s">
        <v>182</v>
      </c>
      <c r="B48" s="19">
        <v>4</v>
      </c>
      <c r="C48" s="18" t="s">
        <v>178</v>
      </c>
      <c r="D48" s="7" t="s">
        <v>183</v>
      </c>
      <c r="E48" s="8" t="s">
        <v>184</v>
      </c>
      <c r="F48" s="9" t="s">
        <v>177</v>
      </c>
      <c r="G48" s="10">
        <v>0.75</v>
      </c>
      <c r="H48" s="11" t="s">
        <v>18</v>
      </c>
      <c r="I48" s="9" t="s">
        <v>32</v>
      </c>
      <c r="J48" s="9" t="s">
        <v>185</v>
      </c>
      <c r="K48" s="8"/>
    </row>
    <row r="49" spans="1:11" ht="25.5" customHeight="1" x14ac:dyDescent="0.25">
      <c r="A49" s="18" t="s">
        <v>186</v>
      </c>
      <c r="B49" s="19">
        <v>4</v>
      </c>
      <c r="C49" s="18" t="s">
        <v>178</v>
      </c>
      <c r="D49" s="7" t="s">
        <v>187</v>
      </c>
      <c r="E49" s="8" t="s">
        <v>188</v>
      </c>
      <c r="F49" s="9" t="s">
        <v>177</v>
      </c>
      <c r="G49" s="10">
        <v>0.25</v>
      </c>
      <c r="H49" s="11" t="s">
        <v>18</v>
      </c>
      <c r="I49" s="9" t="s">
        <v>32</v>
      </c>
      <c r="J49" s="9" t="s">
        <v>189</v>
      </c>
      <c r="K49" s="8"/>
    </row>
    <row r="50" spans="1:11" x14ac:dyDescent="0.25">
      <c r="A50" s="18" t="s">
        <v>190</v>
      </c>
      <c r="B50" s="19">
        <v>4</v>
      </c>
      <c r="C50" s="18" t="s">
        <v>178</v>
      </c>
      <c r="D50" s="7" t="s">
        <v>191</v>
      </c>
      <c r="E50" s="8" t="s">
        <v>192</v>
      </c>
      <c r="F50" s="9" t="s">
        <v>177</v>
      </c>
      <c r="G50" s="10">
        <v>0.4</v>
      </c>
      <c r="H50" s="11" t="s">
        <v>18</v>
      </c>
      <c r="I50" s="9" t="s">
        <v>32</v>
      </c>
      <c r="J50" s="9"/>
      <c r="K50" s="8"/>
    </row>
    <row r="51" spans="1:11" ht="25.5" customHeight="1" x14ac:dyDescent="0.25">
      <c r="A51" s="18" t="s">
        <v>193</v>
      </c>
      <c r="B51" s="19">
        <v>4</v>
      </c>
      <c r="C51" s="18" t="s">
        <v>178</v>
      </c>
      <c r="D51" s="7" t="s">
        <v>194</v>
      </c>
      <c r="E51" s="8" t="s">
        <v>195</v>
      </c>
      <c r="F51" s="9" t="s">
        <v>182</v>
      </c>
      <c r="G51" s="10">
        <v>1.25</v>
      </c>
      <c r="H51" s="11" t="s">
        <v>18</v>
      </c>
      <c r="I51" s="9" t="s">
        <v>32</v>
      </c>
      <c r="J51" s="9" t="s">
        <v>196</v>
      </c>
      <c r="K51" s="8"/>
    </row>
    <row r="52" spans="1:11" ht="25.5" customHeight="1" x14ac:dyDescent="0.25">
      <c r="A52" s="18" t="s">
        <v>197</v>
      </c>
      <c r="B52" s="19">
        <v>4</v>
      </c>
      <c r="C52" s="18" t="s">
        <v>178</v>
      </c>
      <c r="D52" s="7" t="s">
        <v>198</v>
      </c>
      <c r="E52" s="8" t="s">
        <v>199</v>
      </c>
      <c r="F52" s="9" t="s">
        <v>190</v>
      </c>
      <c r="G52" s="10">
        <v>0.5</v>
      </c>
      <c r="H52" s="11" t="s">
        <v>18</v>
      </c>
      <c r="I52" s="9" t="s">
        <v>32</v>
      </c>
      <c r="J52" s="9" t="s">
        <v>200</v>
      </c>
      <c r="K52" s="8"/>
    </row>
    <row r="53" spans="1:11" x14ac:dyDescent="0.25">
      <c r="A53" s="18" t="s">
        <v>201</v>
      </c>
      <c r="B53" s="19">
        <v>4</v>
      </c>
      <c r="C53" s="18" t="s">
        <v>202</v>
      </c>
      <c r="D53" s="7" t="s">
        <v>203</v>
      </c>
      <c r="E53" s="8" t="s">
        <v>204</v>
      </c>
      <c r="F53" s="9" t="s">
        <v>190</v>
      </c>
      <c r="G53" s="10">
        <v>0.5</v>
      </c>
      <c r="H53" s="11" t="s">
        <v>18</v>
      </c>
      <c r="I53" s="9" t="s">
        <v>32</v>
      </c>
      <c r="J53" s="9" t="s">
        <v>205</v>
      </c>
      <c r="K53" s="8"/>
    </row>
    <row r="54" spans="1:11" x14ac:dyDescent="0.25">
      <c r="A54" s="18" t="s">
        <v>206</v>
      </c>
      <c r="B54" s="19">
        <v>4</v>
      </c>
      <c r="C54" s="18" t="s">
        <v>202</v>
      </c>
      <c r="D54" s="7" t="s">
        <v>207</v>
      </c>
      <c r="E54" s="8" t="s">
        <v>208</v>
      </c>
      <c r="F54" s="9" t="s">
        <v>197</v>
      </c>
      <c r="G54" s="10">
        <v>0.4</v>
      </c>
      <c r="H54" s="11" t="s">
        <v>18</v>
      </c>
      <c r="I54" s="9" t="s">
        <v>32</v>
      </c>
      <c r="J54" s="9" t="s">
        <v>209</v>
      </c>
      <c r="K54" s="8"/>
    </row>
    <row r="55" spans="1:11" x14ac:dyDescent="0.25">
      <c r="A55" s="18" t="s">
        <v>210</v>
      </c>
      <c r="B55" s="19">
        <v>4</v>
      </c>
      <c r="C55" s="18" t="s">
        <v>202</v>
      </c>
      <c r="D55" s="7" t="s">
        <v>211</v>
      </c>
      <c r="E55" s="8" t="s">
        <v>212</v>
      </c>
      <c r="F55" s="9" t="s">
        <v>201</v>
      </c>
      <c r="G55" s="10">
        <v>0.5</v>
      </c>
      <c r="H55" s="11" t="s">
        <v>18</v>
      </c>
      <c r="I55" s="9" t="s">
        <v>32</v>
      </c>
      <c r="J55" s="9" t="s">
        <v>213</v>
      </c>
      <c r="K55" s="8"/>
    </row>
    <row r="56" spans="1:11" x14ac:dyDescent="0.25">
      <c r="A56" s="18" t="s">
        <v>214</v>
      </c>
      <c r="B56" s="19">
        <v>4</v>
      </c>
      <c r="C56" s="18" t="s">
        <v>202</v>
      </c>
      <c r="D56" s="7" t="s">
        <v>215</v>
      </c>
      <c r="E56" s="8" t="s">
        <v>216</v>
      </c>
      <c r="F56" s="9" t="s">
        <v>164</v>
      </c>
      <c r="G56" s="10">
        <v>0.5</v>
      </c>
      <c r="H56" s="11" t="s">
        <v>18</v>
      </c>
      <c r="I56" s="9" t="s">
        <v>32</v>
      </c>
      <c r="J56" s="9" t="s">
        <v>68</v>
      </c>
      <c r="K56" s="8"/>
    </row>
    <row r="57" spans="1:11" ht="25.5" customHeight="1" x14ac:dyDescent="0.25">
      <c r="A57" s="18" t="s">
        <v>217</v>
      </c>
      <c r="B57" s="19">
        <v>4</v>
      </c>
      <c r="C57" s="18" t="s">
        <v>202</v>
      </c>
      <c r="D57" s="7" t="s">
        <v>218</v>
      </c>
      <c r="E57" s="8" t="s">
        <v>219</v>
      </c>
      <c r="F57" s="9" t="s">
        <v>210</v>
      </c>
      <c r="G57" s="10">
        <v>0.5</v>
      </c>
      <c r="H57" s="11" t="s">
        <v>18</v>
      </c>
      <c r="I57" s="9" t="s">
        <v>32</v>
      </c>
      <c r="J57" s="9" t="s">
        <v>220</v>
      </c>
      <c r="K57" s="8"/>
    </row>
    <row r="58" spans="1:11" ht="25.5" customHeight="1" x14ac:dyDescent="0.25">
      <c r="A58" s="20" t="s">
        <v>221</v>
      </c>
      <c r="B58" s="21">
        <v>5</v>
      </c>
      <c r="C58" s="20" t="s">
        <v>222</v>
      </c>
      <c r="D58" s="7" t="s">
        <v>223</v>
      </c>
      <c r="E58" s="8" t="s">
        <v>224</v>
      </c>
      <c r="F58" s="9" t="s">
        <v>210</v>
      </c>
      <c r="G58" s="10">
        <v>1</v>
      </c>
      <c r="H58" s="11" t="s">
        <v>18</v>
      </c>
      <c r="I58" s="9" t="s">
        <v>32</v>
      </c>
      <c r="J58" s="9" t="s">
        <v>225</v>
      </c>
      <c r="K58" s="8"/>
    </row>
    <row r="59" spans="1:11" x14ac:dyDescent="0.25">
      <c r="A59" s="20" t="s">
        <v>226</v>
      </c>
      <c r="B59" s="21">
        <v>5</v>
      </c>
      <c r="C59" s="20" t="s">
        <v>222</v>
      </c>
      <c r="D59" s="7" t="s">
        <v>227</v>
      </c>
      <c r="E59" s="8" t="s">
        <v>228</v>
      </c>
      <c r="F59" s="9" t="s">
        <v>217</v>
      </c>
      <c r="G59" s="10">
        <v>0.4</v>
      </c>
      <c r="H59" s="11" t="s">
        <v>18</v>
      </c>
      <c r="I59" s="9" t="s">
        <v>32</v>
      </c>
      <c r="J59" s="9" t="s">
        <v>229</v>
      </c>
      <c r="K59" s="8"/>
    </row>
    <row r="60" spans="1:11" x14ac:dyDescent="0.25">
      <c r="A60" s="20" t="s">
        <v>230</v>
      </c>
      <c r="B60" s="21">
        <v>5</v>
      </c>
      <c r="C60" s="20" t="s">
        <v>222</v>
      </c>
      <c r="D60" s="7" t="s">
        <v>231</v>
      </c>
      <c r="E60" s="8" t="s">
        <v>232</v>
      </c>
      <c r="F60" s="9" t="s">
        <v>217</v>
      </c>
      <c r="G60" s="10">
        <v>0.4</v>
      </c>
      <c r="H60" s="11" t="s">
        <v>18</v>
      </c>
      <c r="I60" s="9" t="s">
        <v>32</v>
      </c>
      <c r="J60" s="9" t="s">
        <v>225</v>
      </c>
      <c r="K60" s="8"/>
    </row>
    <row r="61" spans="1:11" x14ac:dyDescent="0.25">
      <c r="A61" s="20" t="s">
        <v>233</v>
      </c>
      <c r="B61" s="21">
        <v>5</v>
      </c>
      <c r="C61" s="20" t="s">
        <v>234</v>
      </c>
      <c r="D61" s="7" t="s">
        <v>235</v>
      </c>
      <c r="E61" s="8" t="s">
        <v>236</v>
      </c>
      <c r="F61" s="9" t="s">
        <v>210</v>
      </c>
      <c r="G61" s="10">
        <v>0.75</v>
      </c>
      <c r="H61" s="11" t="s">
        <v>18</v>
      </c>
      <c r="I61" s="9" t="s">
        <v>32</v>
      </c>
      <c r="J61" s="9" t="s">
        <v>237</v>
      </c>
      <c r="K61" s="8"/>
    </row>
    <row r="62" spans="1:11" x14ac:dyDescent="0.25">
      <c r="A62" s="20" t="s">
        <v>238</v>
      </c>
      <c r="B62" s="21">
        <v>5</v>
      </c>
      <c r="C62" s="20" t="s">
        <v>234</v>
      </c>
      <c r="D62" s="7" t="s">
        <v>239</v>
      </c>
      <c r="E62" s="8" t="s">
        <v>240</v>
      </c>
      <c r="F62" s="9" t="s">
        <v>230</v>
      </c>
      <c r="G62" s="10">
        <v>0.5</v>
      </c>
      <c r="H62" s="11" t="s">
        <v>18</v>
      </c>
      <c r="I62" s="9" t="s">
        <v>32</v>
      </c>
      <c r="J62" s="9" t="s">
        <v>241</v>
      </c>
      <c r="K62" s="8"/>
    </row>
    <row r="63" spans="1:11" x14ac:dyDescent="0.25">
      <c r="A63" s="20" t="s">
        <v>242</v>
      </c>
      <c r="B63" s="21">
        <v>5</v>
      </c>
      <c r="C63" s="20" t="s">
        <v>234</v>
      </c>
      <c r="D63" s="7" t="s">
        <v>243</v>
      </c>
      <c r="E63" s="8" t="s">
        <v>244</v>
      </c>
      <c r="F63" s="9" t="s">
        <v>233</v>
      </c>
      <c r="G63" s="10">
        <v>0.5</v>
      </c>
      <c r="H63" s="11" t="s">
        <v>18</v>
      </c>
      <c r="I63" s="9" t="s">
        <v>32</v>
      </c>
      <c r="J63" s="9" t="s">
        <v>245</v>
      </c>
      <c r="K63" s="8"/>
    </row>
    <row r="64" spans="1:11" x14ac:dyDescent="0.25">
      <c r="A64" s="20" t="s">
        <v>246</v>
      </c>
      <c r="B64" s="21">
        <v>5</v>
      </c>
      <c r="C64" s="20" t="s">
        <v>234</v>
      </c>
      <c r="D64" s="7" t="s">
        <v>247</v>
      </c>
      <c r="E64" s="8" t="s">
        <v>248</v>
      </c>
      <c r="F64" s="9" t="s">
        <v>238</v>
      </c>
      <c r="G64" s="10">
        <v>0.75</v>
      </c>
      <c r="H64" s="11" t="s">
        <v>18</v>
      </c>
      <c r="I64" s="9" t="s">
        <v>32</v>
      </c>
      <c r="J64" s="9" t="s">
        <v>249</v>
      </c>
      <c r="K64" s="8"/>
    </row>
    <row r="65" spans="1:11" ht="25.5" customHeight="1" x14ac:dyDescent="0.25">
      <c r="A65" s="20" t="s">
        <v>250</v>
      </c>
      <c r="B65" s="21">
        <v>5</v>
      </c>
      <c r="C65" s="20" t="s">
        <v>234</v>
      </c>
      <c r="D65" s="7" t="s">
        <v>251</v>
      </c>
      <c r="E65" s="8" t="s">
        <v>252</v>
      </c>
      <c r="F65" s="9" t="s">
        <v>242</v>
      </c>
      <c r="G65" s="10">
        <v>0.75</v>
      </c>
      <c r="H65" s="11" t="s">
        <v>18</v>
      </c>
      <c r="I65" s="9" t="s">
        <v>32</v>
      </c>
      <c r="J65" s="9" t="s">
        <v>253</v>
      </c>
      <c r="K65" s="8"/>
    </row>
    <row r="66" spans="1:11" x14ac:dyDescent="0.25">
      <c r="A66" s="20" t="s">
        <v>254</v>
      </c>
      <c r="B66" s="21">
        <v>5</v>
      </c>
      <c r="C66" s="20" t="s">
        <v>255</v>
      </c>
      <c r="D66" s="7" t="s">
        <v>256</v>
      </c>
      <c r="E66" s="8" t="s">
        <v>257</v>
      </c>
      <c r="F66" s="9" t="s">
        <v>246</v>
      </c>
      <c r="G66" s="10">
        <v>0.75</v>
      </c>
      <c r="H66" s="11" t="s">
        <v>258</v>
      </c>
      <c r="I66" s="9" t="s">
        <v>32</v>
      </c>
      <c r="J66" s="9" t="s">
        <v>259</v>
      </c>
      <c r="K66" s="8"/>
    </row>
    <row r="67" spans="1:11" ht="25.5" customHeight="1" x14ac:dyDescent="0.25">
      <c r="A67" s="20" t="s">
        <v>260</v>
      </c>
      <c r="B67" s="21">
        <v>5</v>
      </c>
      <c r="C67" s="20" t="s">
        <v>261</v>
      </c>
      <c r="D67" s="7" t="s">
        <v>262</v>
      </c>
      <c r="E67" s="8" t="s">
        <v>263</v>
      </c>
      <c r="F67" s="9" t="s">
        <v>246</v>
      </c>
      <c r="G67" s="10">
        <v>0.5</v>
      </c>
      <c r="H67" s="11" t="s">
        <v>18</v>
      </c>
      <c r="I67" s="9" t="s">
        <v>32</v>
      </c>
      <c r="J67" s="9" t="s">
        <v>264</v>
      </c>
      <c r="K67" s="8"/>
    </row>
    <row r="68" spans="1:11" x14ac:dyDescent="0.25">
      <c r="A68" s="22" t="s">
        <v>265</v>
      </c>
      <c r="B68" s="23">
        <v>6</v>
      </c>
      <c r="C68" s="22" t="s">
        <v>266</v>
      </c>
      <c r="D68" s="7" t="s">
        <v>267</v>
      </c>
      <c r="E68" s="8" t="s">
        <v>268</v>
      </c>
      <c r="F68" s="9" t="s">
        <v>101</v>
      </c>
      <c r="G68" s="10">
        <v>0.75</v>
      </c>
      <c r="H68" s="11" t="s">
        <v>18</v>
      </c>
      <c r="I68" s="9" t="s">
        <v>32</v>
      </c>
      <c r="J68" s="9" t="s">
        <v>269</v>
      </c>
      <c r="K68" s="8"/>
    </row>
    <row r="69" spans="1:11" x14ac:dyDescent="0.25">
      <c r="A69" s="22" t="s">
        <v>270</v>
      </c>
      <c r="B69" s="23">
        <v>6</v>
      </c>
      <c r="C69" s="22" t="s">
        <v>266</v>
      </c>
      <c r="D69" s="7" t="s">
        <v>271</v>
      </c>
      <c r="E69" s="8" t="s">
        <v>272</v>
      </c>
      <c r="F69" s="9" t="s">
        <v>260</v>
      </c>
      <c r="G69" s="10">
        <v>0.75</v>
      </c>
      <c r="H69" s="11" t="s">
        <v>18</v>
      </c>
      <c r="I69" s="9" t="s">
        <v>32</v>
      </c>
      <c r="J69" s="9" t="s">
        <v>269</v>
      </c>
      <c r="K69" s="8"/>
    </row>
    <row r="70" spans="1:11" x14ac:dyDescent="0.25">
      <c r="A70" s="22" t="s">
        <v>273</v>
      </c>
      <c r="B70" s="23">
        <v>6</v>
      </c>
      <c r="C70" s="22" t="s">
        <v>266</v>
      </c>
      <c r="D70" s="7" t="s">
        <v>274</v>
      </c>
      <c r="E70" s="8" t="s">
        <v>275</v>
      </c>
      <c r="F70" s="9" t="s">
        <v>97</v>
      </c>
      <c r="G70" s="10">
        <v>0.4</v>
      </c>
      <c r="H70" s="11" t="s">
        <v>18</v>
      </c>
      <c r="I70" s="9" t="s">
        <v>32</v>
      </c>
      <c r="J70" s="9" t="s">
        <v>276</v>
      </c>
      <c r="K70" s="8"/>
    </row>
    <row r="71" spans="1:11" x14ac:dyDescent="0.25">
      <c r="A71" s="22" t="s">
        <v>277</v>
      </c>
      <c r="B71" s="23">
        <v>6</v>
      </c>
      <c r="C71" s="22" t="s">
        <v>266</v>
      </c>
      <c r="D71" s="7" t="s">
        <v>278</v>
      </c>
      <c r="E71" s="8" t="s">
        <v>279</v>
      </c>
      <c r="F71" s="9" t="s">
        <v>270</v>
      </c>
      <c r="G71" s="10">
        <v>0.4</v>
      </c>
      <c r="H71" s="11" t="s">
        <v>18</v>
      </c>
      <c r="I71" s="9" t="s">
        <v>32</v>
      </c>
      <c r="J71" s="9" t="s">
        <v>280</v>
      </c>
      <c r="K71" s="8"/>
    </row>
    <row r="72" spans="1:11" x14ac:dyDescent="0.25">
      <c r="A72" s="22" t="s">
        <v>281</v>
      </c>
      <c r="B72" s="23">
        <v>6</v>
      </c>
      <c r="C72" s="22" t="s">
        <v>266</v>
      </c>
      <c r="D72" s="7" t="s">
        <v>282</v>
      </c>
      <c r="E72" s="8" t="s">
        <v>283</v>
      </c>
      <c r="F72" s="9" t="s">
        <v>270</v>
      </c>
      <c r="G72" s="10">
        <v>0.4</v>
      </c>
      <c r="H72" s="11" t="s">
        <v>18</v>
      </c>
      <c r="I72" s="9" t="s">
        <v>32</v>
      </c>
      <c r="J72" s="9" t="s">
        <v>284</v>
      </c>
      <c r="K72" s="8"/>
    </row>
    <row r="73" spans="1:11" x14ac:dyDescent="0.25">
      <c r="A73" s="22" t="s">
        <v>285</v>
      </c>
      <c r="B73" s="23">
        <v>6</v>
      </c>
      <c r="C73" s="22" t="s">
        <v>266</v>
      </c>
      <c r="D73" s="7" t="s">
        <v>286</v>
      </c>
      <c r="E73" s="8" t="s">
        <v>287</v>
      </c>
      <c r="F73" s="9" t="s">
        <v>101</v>
      </c>
      <c r="G73" s="10">
        <v>0.6</v>
      </c>
      <c r="H73" s="11" t="s">
        <v>258</v>
      </c>
      <c r="I73" s="9" t="s">
        <v>32</v>
      </c>
      <c r="J73" s="9" t="s">
        <v>288</v>
      </c>
      <c r="K73" s="8"/>
    </row>
    <row r="74" spans="1:11" ht="25.5" customHeight="1" x14ac:dyDescent="0.25">
      <c r="A74" s="22" t="s">
        <v>289</v>
      </c>
      <c r="B74" s="23">
        <v>6</v>
      </c>
      <c r="C74" s="22" t="s">
        <v>290</v>
      </c>
      <c r="D74" s="7" t="s">
        <v>291</v>
      </c>
      <c r="E74" s="8" t="s">
        <v>292</v>
      </c>
      <c r="F74" s="9" t="s">
        <v>250</v>
      </c>
      <c r="G74" s="10">
        <v>0.75</v>
      </c>
      <c r="H74" s="11" t="s">
        <v>18</v>
      </c>
      <c r="I74" s="9" t="s">
        <v>32</v>
      </c>
      <c r="J74" s="9" t="s">
        <v>293</v>
      </c>
      <c r="K74" s="8"/>
    </row>
    <row r="75" spans="1:11" x14ac:dyDescent="0.25">
      <c r="A75" s="22" t="s">
        <v>294</v>
      </c>
      <c r="B75" s="23">
        <v>6</v>
      </c>
      <c r="C75" s="22" t="s">
        <v>290</v>
      </c>
      <c r="D75" s="7" t="s">
        <v>295</v>
      </c>
      <c r="E75" s="8" t="s">
        <v>296</v>
      </c>
      <c r="F75" s="9" t="s">
        <v>285</v>
      </c>
      <c r="G75" s="10">
        <v>0.5</v>
      </c>
      <c r="H75" s="11" t="s">
        <v>18</v>
      </c>
      <c r="I75" s="9" t="s">
        <v>32</v>
      </c>
      <c r="J75" s="9" t="s">
        <v>297</v>
      </c>
      <c r="K75" s="8"/>
    </row>
    <row r="76" spans="1:11" ht="25.5" customHeight="1" x14ac:dyDescent="0.25">
      <c r="A76" s="22" t="s">
        <v>298</v>
      </c>
      <c r="B76" s="23">
        <v>6</v>
      </c>
      <c r="C76" s="22" t="s">
        <v>290</v>
      </c>
      <c r="D76" s="7" t="s">
        <v>299</v>
      </c>
      <c r="E76" s="8" t="s">
        <v>300</v>
      </c>
      <c r="F76" s="9" t="s">
        <v>250</v>
      </c>
      <c r="G76" s="10">
        <v>0.75</v>
      </c>
      <c r="H76" s="11" t="s">
        <v>18</v>
      </c>
      <c r="I76" s="9" t="s">
        <v>32</v>
      </c>
      <c r="J76" s="9" t="s">
        <v>301</v>
      </c>
      <c r="K76" s="8"/>
    </row>
    <row r="77" spans="1:11" x14ac:dyDescent="0.25">
      <c r="A77" s="22" t="s">
        <v>302</v>
      </c>
      <c r="B77" s="23">
        <v>6</v>
      </c>
      <c r="C77" s="22" t="s">
        <v>290</v>
      </c>
      <c r="D77" s="7" t="s">
        <v>303</v>
      </c>
      <c r="E77" s="8" t="s">
        <v>304</v>
      </c>
      <c r="F77" s="9" t="s">
        <v>294</v>
      </c>
      <c r="G77" s="10">
        <v>1</v>
      </c>
      <c r="H77" s="11" t="s">
        <v>18</v>
      </c>
      <c r="I77" s="9" t="s">
        <v>32</v>
      </c>
      <c r="J77" s="9"/>
      <c r="K77" s="8"/>
    </row>
    <row r="78" spans="1:11" ht="25.5" x14ac:dyDescent="0.25">
      <c r="A78" s="22" t="s">
        <v>305</v>
      </c>
      <c r="B78" s="23">
        <v>0</v>
      </c>
      <c r="C78" s="22" t="s">
        <v>54</v>
      </c>
      <c r="D78" s="7" t="s">
        <v>306</v>
      </c>
      <c r="E78" s="8" t="s">
        <v>307</v>
      </c>
      <c r="F78" s="9" t="s">
        <v>48</v>
      </c>
      <c r="G78" s="10">
        <v>0.25</v>
      </c>
      <c r="H78" s="11" t="s">
        <v>18</v>
      </c>
      <c r="I78" s="9" t="s">
        <v>32</v>
      </c>
      <c r="J78" s="9" t="s">
        <v>308</v>
      </c>
    </row>
    <row r="79" spans="1:11" ht="25.5" x14ac:dyDescent="0.25">
      <c r="A79" s="22" t="s">
        <v>309</v>
      </c>
      <c r="B79" s="23">
        <v>0</v>
      </c>
      <c r="C79" s="22" t="s">
        <v>54</v>
      </c>
      <c r="D79" s="7" t="s">
        <v>310</v>
      </c>
      <c r="E79" s="8" t="s">
        <v>311</v>
      </c>
      <c r="F79" s="9" t="s">
        <v>40</v>
      </c>
      <c r="G79" s="10">
        <v>0.5</v>
      </c>
      <c r="H79" s="11" t="s">
        <v>258</v>
      </c>
      <c r="I79" s="9" t="s">
        <v>32</v>
      </c>
      <c r="J79" s="9" t="s">
        <v>312</v>
      </c>
    </row>
    <row r="80" spans="1:11" x14ac:dyDescent="0.25">
      <c r="D80" s="24" t="s">
        <v>313</v>
      </c>
      <c r="F80" s="24" t="s">
        <v>314</v>
      </c>
      <c r="G80" s="25">
        <f>SUM(G6:G79)</f>
        <v>39.899999999999991</v>
      </c>
    </row>
  </sheetData>
  <autoFilter ref="A5:K77" xr:uid="{00000000-0009-0000-0000-000000000000}"/>
  <conditionalFormatting sqref="I6:I77">
    <cfRule type="cellIs" dxfId="3" priority="1" operator="equal">
      <formula>"Done"</formula>
    </cfRule>
    <cfRule type="cellIs" dxfId="2" priority="2" operator="equal">
      <formula>"In progress"</formula>
    </cfRule>
    <cfRule type="cellIs" dxfId="1" priority="3" operator="equal">
      <formula>"Blocked"</formula>
    </cfRule>
    <cfRule type="cellIs" dxfId="0" priority="4" operator="equal">
      <formula>"Cut"</formula>
    </cfRule>
  </conditionalFormatting>
  <dataValidations count="2">
    <dataValidation type="list" sqref="I6:I77" xr:uid="{00000000-0002-0000-0000-000000000000}">
      <formula1>"Not started,In progress,Blocked,Done,Cut"</formula1>
    </dataValidation>
    <dataValidation type="list" sqref="H6:H77" xr:uid="{00000000-0002-0000-0000-000001000000}">
      <formula1>"M,S,C"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42" customWidth="1"/>
    <col min="4" max="5" width="8" customWidth="1"/>
    <col min="6" max="6" width="9" customWidth="1"/>
    <col min="7" max="7" width="10" customWidth="1"/>
    <col min="8" max="8" width="12" customWidth="1"/>
    <col min="9" max="9" width="50" customWidth="1"/>
  </cols>
  <sheetData>
    <row r="1" spans="1:9" ht="18" customHeight="1" x14ac:dyDescent="0.25">
      <c r="A1" s="1" t="s">
        <v>315</v>
      </c>
    </row>
    <row r="2" spans="1:9" x14ac:dyDescent="0.25">
      <c r="A2" s="2" t="s">
        <v>316</v>
      </c>
    </row>
    <row r="4" spans="1:9" x14ac:dyDescent="0.25">
      <c r="A4" s="4" t="s">
        <v>4</v>
      </c>
      <c r="B4" s="4" t="s">
        <v>317</v>
      </c>
      <c r="C4" s="4" t="s">
        <v>318</v>
      </c>
      <c r="D4" s="4" t="s">
        <v>319</v>
      </c>
      <c r="E4" s="4" t="s">
        <v>38</v>
      </c>
      <c r="F4" s="4" t="s">
        <v>9</v>
      </c>
      <c r="G4" s="4" t="s">
        <v>320</v>
      </c>
      <c r="H4" s="4" t="s">
        <v>321</v>
      </c>
      <c r="I4" s="4" t="s">
        <v>322</v>
      </c>
    </row>
    <row r="5" spans="1:9" ht="25.5" customHeight="1" x14ac:dyDescent="0.25">
      <c r="A5" s="6">
        <v>0</v>
      </c>
      <c r="B5" s="26" t="s">
        <v>15</v>
      </c>
      <c r="C5" s="8" t="s">
        <v>323</v>
      </c>
      <c r="D5" s="27">
        <f>COUNTIFS(Tasks!$B$6:$B$79,$A5)</f>
        <v>11</v>
      </c>
      <c r="E5" s="27">
        <f>COUNTIFS(Tasks!$B$6:$B$79,$A5,Tasks!$I$6:$I$79,"Done")</f>
        <v>3</v>
      </c>
      <c r="F5" s="10">
        <f>SUMIFS(Tasks!$G$6:$G$79,Tasks!$B$6:$B$79,$A5)</f>
        <v>3.75</v>
      </c>
      <c r="G5" s="10">
        <f>SUMIFS(Tasks!$G$6:$G$79,Tasks!$B$6:$B$79,$A5,Tasks!$I$6:$I$79,"Done")</f>
        <v>1.25</v>
      </c>
      <c r="H5" s="28">
        <f t="shared" ref="H5:H12" si="0">IFERROR(G5/F5,0)</f>
        <v>0.33333333333333331</v>
      </c>
      <c r="I5" s="8" t="s">
        <v>324</v>
      </c>
    </row>
    <row r="6" spans="1:9" x14ac:dyDescent="0.25">
      <c r="A6" s="13">
        <v>1</v>
      </c>
      <c r="B6" s="29" t="s">
        <v>325</v>
      </c>
      <c r="C6" s="8" t="s">
        <v>326</v>
      </c>
      <c r="D6" s="27">
        <f>COUNTIFS(Tasks!$B$6:$B$79,$A6)</f>
        <v>11</v>
      </c>
      <c r="E6" s="27">
        <f>COUNTIFS(Tasks!$B$6:$B$79,$A6,Tasks!$I$6:$I$79,"Done")</f>
        <v>0</v>
      </c>
      <c r="F6" s="10">
        <f>SUMIFS(Tasks!$G$6:$G$79,Tasks!$B$6:$B$79,$A6)</f>
        <v>6</v>
      </c>
      <c r="G6" s="10">
        <f>SUMIFS(Tasks!$G$6:$G$79,Tasks!$B$6:$B$79,$A6,Tasks!$I$6:$I$79,"Done")</f>
        <v>0</v>
      </c>
      <c r="H6" s="28">
        <f t="shared" si="0"/>
        <v>0</v>
      </c>
      <c r="I6" s="8" t="s">
        <v>327</v>
      </c>
    </row>
    <row r="7" spans="1:9" x14ac:dyDescent="0.25">
      <c r="A7" s="15">
        <v>2</v>
      </c>
      <c r="B7" s="30" t="s">
        <v>328</v>
      </c>
      <c r="C7" s="8" t="s">
        <v>329</v>
      </c>
      <c r="D7" s="27">
        <f>COUNTIFS(Tasks!$B$6:$B$79,$A7)</f>
        <v>10</v>
      </c>
      <c r="E7" s="27">
        <f>COUNTIFS(Tasks!$B$6:$B$79,$A7,Tasks!$I$6:$I$79,"Done")</f>
        <v>0</v>
      </c>
      <c r="F7" s="10">
        <f>SUMIFS(Tasks!$G$6:$G$79,Tasks!$B$6:$B$79,$A7)</f>
        <v>5.3000000000000007</v>
      </c>
      <c r="G7" s="10">
        <f>SUMIFS(Tasks!$G$6:$G$79,Tasks!$B$6:$B$79,$A7,Tasks!$I$6:$I$79,"Done")</f>
        <v>0</v>
      </c>
      <c r="H7" s="28">
        <f t="shared" si="0"/>
        <v>0</v>
      </c>
      <c r="I7" s="8" t="s">
        <v>330</v>
      </c>
    </row>
    <row r="8" spans="1:9" x14ac:dyDescent="0.25">
      <c r="A8" s="17">
        <v>3</v>
      </c>
      <c r="B8" s="31" t="s">
        <v>331</v>
      </c>
      <c r="C8" s="8" t="s">
        <v>332</v>
      </c>
      <c r="D8" s="27">
        <f>COUNTIFS(Tasks!$B$6:$B$79,$A8)</f>
        <v>11</v>
      </c>
      <c r="E8" s="27">
        <f>COUNTIFS(Tasks!$B$6:$B$79,$A8,Tasks!$I$6:$I$79,"Done")</f>
        <v>0</v>
      </c>
      <c r="F8" s="10">
        <f>SUMIFS(Tasks!$G$6:$G$79,Tasks!$B$6:$B$79,$A8)</f>
        <v>5.7000000000000011</v>
      </c>
      <c r="G8" s="10">
        <f>SUMIFS(Tasks!$G$6:$G$79,Tasks!$B$6:$B$79,$A8,Tasks!$I$6:$I$79,"Done")</f>
        <v>0</v>
      </c>
      <c r="H8" s="28">
        <f t="shared" si="0"/>
        <v>0</v>
      </c>
      <c r="I8" s="8" t="s">
        <v>333</v>
      </c>
    </row>
    <row r="9" spans="1:9" x14ac:dyDescent="0.25">
      <c r="A9" s="19">
        <v>4</v>
      </c>
      <c r="B9" s="32" t="s">
        <v>334</v>
      </c>
      <c r="C9" s="8" t="s">
        <v>335</v>
      </c>
      <c r="D9" s="27">
        <f>COUNTIFS(Tasks!$B$6:$B$79,$A9)</f>
        <v>11</v>
      </c>
      <c r="E9" s="27">
        <f>COUNTIFS(Tasks!$B$6:$B$79,$A9,Tasks!$I$6:$I$79,"Done")</f>
        <v>0</v>
      </c>
      <c r="F9" s="10">
        <f>SUMIFS(Tasks!$G$6:$G$79,Tasks!$B$6:$B$79,$A9)</f>
        <v>6.5500000000000007</v>
      </c>
      <c r="G9" s="10">
        <f>SUMIFS(Tasks!$G$6:$G$79,Tasks!$B$6:$B$79,$A9,Tasks!$I$6:$I$79,"Done")</f>
        <v>0</v>
      </c>
      <c r="H9" s="28">
        <f t="shared" si="0"/>
        <v>0</v>
      </c>
      <c r="I9" s="8" t="s">
        <v>336</v>
      </c>
    </row>
    <row r="10" spans="1:9" ht="25.5" customHeight="1" x14ac:dyDescent="0.25">
      <c r="A10" s="21">
        <v>5</v>
      </c>
      <c r="B10" s="33" t="s">
        <v>337</v>
      </c>
      <c r="C10" s="8" t="s">
        <v>338</v>
      </c>
      <c r="D10" s="27">
        <f>COUNTIFS(Tasks!$B$6:$B$79,$A10)</f>
        <v>10</v>
      </c>
      <c r="E10" s="27">
        <f>COUNTIFS(Tasks!$B$6:$B$79,$A10,Tasks!$I$6:$I$79,"Done")</f>
        <v>0</v>
      </c>
      <c r="F10" s="10">
        <f>SUMIFS(Tasks!$G$6:$G$79,Tasks!$B$6:$B$79,$A10)</f>
        <v>6.3</v>
      </c>
      <c r="G10" s="10">
        <f>SUMIFS(Tasks!$G$6:$G$79,Tasks!$B$6:$B$79,$A10,Tasks!$I$6:$I$79,"Done")</f>
        <v>0</v>
      </c>
      <c r="H10" s="28">
        <f t="shared" si="0"/>
        <v>0</v>
      </c>
      <c r="I10" s="8" t="s">
        <v>339</v>
      </c>
    </row>
    <row r="11" spans="1:9" x14ac:dyDescent="0.25">
      <c r="A11" s="23">
        <v>6</v>
      </c>
      <c r="B11" s="34" t="s">
        <v>340</v>
      </c>
      <c r="C11" s="8" t="s">
        <v>341</v>
      </c>
      <c r="D11" s="27">
        <f>COUNTIFS(Tasks!$B$6:$B$79,$A11)</f>
        <v>10</v>
      </c>
      <c r="E11" s="27">
        <f>COUNTIFS(Tasks!$B$6:$B$79,$A11,Tasks!$I$6:$I$79,"Done")</f>
        <v>0</v>
      </c>
      <c r="F11" s="10">
        <f>SUMIFS(Tasks!$G$6:$G$79,Tasks!$B$6:$B$79,$A11)</f>
        <v>6.3</v>
      </c>
      <c r="G11" s="10">
        <f>SUMIFS(Tasks!$G$6:$G$79,Tasks!$B$6:$B$79,$A11,Tasks!$I$6:$I$79,"Done")</f>
        <v>0</v>
      </c>
      <c r="H11" s="28">
        <f t="shared" si="0"/>
        <v>0</v>
      </c>
      <c r="I11" s="8" t="s">
        <v>342</v>
      </c>
    </row>
    <row r="12" spans="1:9" x14ac:dyDescent="0.25">
      <c r="A12" s="35"/>
      <c r="B12" s="35" t="s">
        <v>314</v>
      </c>
      <c r="C12" s="35"/>
      <c r="D12" s="36">
        <f>SUM(D5:D11)</f>
        <v>74</v>
      </c>
      <c r="E12" s="36">
        <f>SUM(E5:E11)</f>
        <v>3</v>
      </c>
      <c r="F12" s="37">
        <f>SUM(F5:F11)</f>
        <v>39.9</v>
      </c>
      <c r="G12" s="37">
        <f>SUM(G5:G11)</f>
        <v>1.25</v>
      </c>
      <c r="H12" s="38">
        <f t="shared" si="0"/>
        <v>3.1328320802005011E-2</v>
      </c>
      <c r="I12" s="35"/>
    </row>
    <row r="14" spans="1:9" x14ac:dyDescent="0.25">
      <c r="B14" s="39" t="s">
        <v>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defaultRowHeight="15" x14ac:dyDescent="0.25"/>
  <cols>
    <col min="1" max="1" width="20" customWidth="1"/>
    <col min="2" max="2" width="108" customWidth="1"/>
  </cols>
  <sheetData>
    <row r="1" spans="1:2" ht="18" customHeight="1" x14ac:dyDescent="0.25">
      <c r="A1" s="1" t="s">
        <v>344</v>
      </c>
    </row>
    <row r="3" spans="1:2" x14ac:dyDescent="0.25">
      <c r="A3" s="24"/>
      <c r="B3" s="40"/>
    </row>
    <row r="4" spans="1:2" ht="25.5" customHeight="1" x14ac:dyDescent="0.25">
      <c r="A4" s="24" t="s">
        <v>345</v>
      </c>
      <c r="B4" s="40" t="s">
        <v>346</v>
      </c>
    </row>
    <row r="5" spans="1:2" x14ac:dyDescent="0.25">
      <c r="A5" s="24"/>
      <c r="B5" s="40"/>
    </row>
    <row r="6" spans="1:2" x14ac:dyDescent="0.25">
      <c r="A6" s="41" t="s">
        <v>347</v>
      </c>
      <c r="B6" s="40"/>
    </row>
    <row r="7" spans="1:2" x14ac:dyDescent="0.25">
      <c r="A7" s="24" t="s">
        <v>32</v>
      </c>
      <c r="B7" s="40" t="s">
        <v>348</v>
      </c>
    </row>
    <row r="8" spans="1:2" x14ac:dyDescent="0.25">
      <c r="A8" s="24" t="s">
        <v>349</v>
      </c>
      <c r="B8" s="40" t="s">
        <v>350</v>
      </c>
    </row>
    <row r="9" spans="1:2" x14ac:dyDescent="0.25">
      <c r="A9" s="24" t="s">
        <v>351</v>
      </c>
      <c r="B9" s="40" t="s">
        <v>352</v>
      </c>
    </row>
    <row r="10" spans="1:2" x14ac:dyDescent="0.25">
      <c r="A10" s="24" t="s">
        <v>38</v>
      </c>
      <c r="B10" s="40" t="s">
        <v>353</v>
      </c>
    </row>
    <row r="11" spans="1:2" x14ac:dyDescent="0.25">
      <c r="A11" s="24" t="s">
        <v>19</v>
      </c>
      <c r="B11" s="40" t="s">
        <v>354</v>
      </c>
    </row>
    <row r="12" spans="1:2" x14ac:dyDescent="0.25">
      <c r="A12" s="24"/>
      <c r="B12" s="40"/>
    </row>
    <row r="13" spans="1:2" x14ac:dyDescent="0.25">
      <c r="A13" s="41" t="s">
        <v>355</v>
      </c>
      <c r="B13" s="40"/>
    </row>
    <row r="14" spans="1:2" x14ac:dyDescent="0.25">
      <c r="A14" s="24" t="s">
        <v>18</v>
      </c>
      <c r="B14" s="40" t="s">
        <v>356</v>
      </c>
    </row>
    <row r="15" spans="1:2" x14ac:dyDescent="0.25">
      <c r="A15" s="24" t="s">
        <v>258</v>
      </c>
      <c r="B15" s="40" t="s">
        <v>357</v>
      </c>
    </row>
    <row r="16" spans="1:2" x14ac:dyDescent="0.25">
      <c r="A16" s="24" t="s">
        <v>358</v>
      </c>
      <c r="B16" s="40" t="s">
        <v>359</v>
      </c>
    </row>
    <row r="17" spans="1:2" x14ac:dyDescent="0.25">
      <c r="A17" s="24"/>
      <c r="B17" s="40"/>
    </row>
    <row r="18" spans="1:2" x14ac:dyDescent="0.25">
      <c r="A18" s="41" t="s">
        <v>360</v>
      </c>
      <c r="B18" s="40"/>
    </row>
    <row r="19" spans="1:2" x14ac:dyDescent="0.25">
      <c r="A19" s="24" t="s">
        <v>8</v>
      </c>
      <c r="B19" s="40" t="s">
        <v>361</v>
      </c>
    </row>
    <row r="20" spans="1:2" x14ac:dyDescent="0.25">
      <c r="A20" s="24" t="s">
        <v>9</v>
      </c>
      <c r="B20" s="40" t="s">
        <v>362</v>
      </c>
    </row>
    <row r="21" spans="1:2" ht="25.5" customHeight="1" x14ac:dyDescent="0.25">
      <c r="A21" s="24" t="s">
        <v>12</v>
      </c>
      <c r="B21" s="40" t="s">
        <v>363</v>
      </c>
    </row>
    <row r="22" spans="1:2" x14ac:dyDescent="0.25">
      <c r="A22" s="24"/>
      <c r="B22" s="40"/>
    </row>
    <row r="23" spans="1:2" ht="25.5" customHeight="1" x14ac:dyDescent="0.25">
      <c r="A23" s="24" t="s">
        <v>364</v>
      </c>
      <c r="B23" s="40" t="s">
        <v>365</v>
      </c>
    </row>
    <row r="24" spans="1:2" x14ac:dyDescent="0.25">
      <c r="A24" s="24"/>
      <c r="B24" s="40"/>
    </row>
    <row r="25" spans="1:2" ht="25.5" customHeight="1" x14ac:dyDescent="0.25">
      <c r="A25" s="24" t="s">
        <v>366</v>
      </c>
      <c r="B25" s="40" t="s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Phases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 Flex</cp:lastModifiedBy>
  <dcterms:created xsi:type="dcterms:W3CDTF">2026-09-28T09:21:55Z</dcterms:created>
  <dcterms:modified xsi:type="dcterms:W3CDTF">2026-09-28T14:32:18Z</dcterms:modified>
</cp:coreProperties>
</file>